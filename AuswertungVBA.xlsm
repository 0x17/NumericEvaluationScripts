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.schnabel\Dropbox\Arbeit\Scheduling\Projekte\Auswertungen\j30_10s\"/>
    </mc:Choice>
  </mc:AlternateContent>
  <bookViews>
    <workbookView xWindow="0" yWindow="0" windowWidth="27870" windowHeight="13020"/>
  </bookViews>
  <sheets>
    <sheet name="Gewinne" sheetId="1" r:id="rId1"/>
    <sheet name="Gaps" sheetId="2" r:id="rId2"/>
    <sheet name="Avg Gap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7" i="2"/>
  <c r="C9" i="2"/>
  <c r="D13" i="2"/>
  <c r="D15" i="2"/>
  <c r="D17" i="2"/>
  <c r="D19" i="2"/>
  <c r="C21" i="2"/>
  <c r="D23" i="2"/>
  <c r="D25" i="2"/>
  <c r="D27" i="2"/>
  <c r="D28" i="2"/>
  <c r="C29" i="2"/>
  <c r="C31" i="2"/>
  <c r="C33" i="2"/>
  <c r="C39" i="2"/>
  <c r="D40" i="2"/>
  <c r="C41" i="2"/>
  <c r="C42" i="2"/>
  <c r="C44" i="2"/>
  <c r="D45" i="2"/>
  <c r="D47" i="2"/>
  <c r="D49" i="2"/>
  <c r="C50" i="2"/>
  <c r="D51" i="2"/>
  <c r="C52" i="2"/>
  <c r="D55" i="2"/>
  <c r="D57" i="2"/>
  <c r="C58" i="2"/>
  <c r="D59" i="2"/>
  <c r="D60" i="2"/>
  <c r="D61" i="2"/>
  <c r="C63" i="2"/>
  <c r="C65" i="2"/>
  <c r="C66" i="2"/>
  <c r="C68" i="2"/>
  <c r="C71" i="2"/>
  <c r="C73" i="2"/>
  <c r="C74" i="2"/>
  <c r="C76" i="2"/>
  <c r="D79" i="2"/>
  <c r="D81" i="2"/>
  <c r="C82" i="2"/>
  <c r="C84" i="2"/>
  <c r="D87" i="2"/>
  <c r="D89" i="2"/>
  <c r="C90" i="2"/>
  <c r="C92" i="2"/>
  <c r="D95" i="2"/>
  <c r="D97" i="2"/>
  <c r="C98" i="2"/>
  <c r="G100" i="2"/>
  <c r="C101" i="2"/>
  <c r="D103" i="2"/>
  <c r="D105" i="2"/>
  <c r="D107" i="2"/>
  <c r="C109" i="2"/>
  <c r="D111" i="2"/>
  <c r="K113" i="2"/>
  <c r="D115" i="2"/>
  <c r="D116" i="2"/>
  <c r="D121" i="2"/>
  <c r="D124" i="2"/>
  <c r="D129" i="2"/>
  <c r="C132" i="2"/>
  <c r="C144" i="2"/>
  <c r="D150" i="2"/>
  <c r="E152" i="2"/>
  <c r="C153" i="2"/>
  <c r="D159" i="2"/>
  <c r="C161" i="2"/>
  <c r="D168" i="2"/>
  <c r="C170" i="2"/>
  <c r="C172" i="2"/>
  <c r="C176" i="2"/>
  <c r="C178" i="2"/>
  <c r="C180" i="2"/>
  <c r="C184" i="2"/>
  <c r="J185" i="2"/>
  <c r="C186" i="2"/>
  <c r="C188" i="2"/>
  <c r="C194" i="2"/>
  <c r="C196" i="2"/>
  <c r="C202" i="2"/>
  <c r="C204" i="2"/>
  <c r="C208" i="2"/>
  <c r="D209" i="2"/>
  <c r="C210" i="2"/>
  <c r="N212" i="2"/>
  <c r="K217" i="2"/>
  <c r="C218" i="2"/>
  <c r="C220" i="2"/>
  <c r="C224" i="2"/>
  <c r="M225" i="2"/>
  <c r="N227" i="2"/>
  <c r="C228" i="2"/>
  <c r="F231" i="2"/>
  <c r="G233" i="2"/>
  <c r="C234" i="2"/>
  <c r="C236" i="2"/>
  <c r="G241" i="2"/>
  <c r="C242" i="2"/>
  <c r="C244" i="2"/>
  <c r="I246" i="2"/>
  <c r="K249" i="2"/>
  <c r="C250" i="2"/>
  <c r="I252" i="2"/>
  <c r="K254" i="2"/>
  <c r="K257" i="2"/>
  <c r="K258" i="2"/>
  <c r="C260" i="2"/>
  <c r="N261" i="2"/>
  <c r="H263" i="2"/>
  <c r="F265" i="2"/>
  <c r="C266" i="2"/>
  <c r="F267" i="2"/>
  <c r="C268" i="2"/>
  <c r="L269" i="2"/>
  <c r="E273" i="2"/>
  <c r="L274" i="2"/>
  <c r="F276" i="2"/>
  <c r="H277" i="2"/>
  <c r="E281" i="2"/>
  <c r="D282" i="2"/>
  <c r="J283" i="2"/>
  <c r="L284" i="2"/>
  <c r="C285" i="2"/>
  <c r="E286" i="2"/>
  <c r="H287" i="2"/>
  <c r="J288" i="2"/>
  <c r="D290" i="2"/>
  <c r="C124" i="2" l="1"/>
  <c r="C25" i="2"/>
  <c r="D132" i="2"/>
  <c r="H268" i="2"/>
  <c r="D257" i="2"/>
  <c r="C116" i="2"/>
  <c r="D249" i="2"/>
  <c r="D29" i="2"/>
  <c r="M265" i="2"/>
  <c r="C60" i="2"/>
  <c r="C17" i="2"/>
  <c r="D241" i="2"/>
  <c r="C212" i="2"/>
  <c r="C107" i="2"/>
  <c r="C13" i="2"/>
  <c r="D233" i="2"/>
  <c r="D225" i="2"/>
  <c r="D98" i="2"/>
  <c r="C276" i="2"/>
  <c r="D217" i="2"/>
  <c r="M220" i="2"/>
  <c r="D273" i="2"/>
  <c r="J273" i="2"/>
  <c r="D265" i="2"/>
  <c r="I289" i="2"/>
  <c r="K289" i="2"/>
  <c r="E289" i="2"/>
  <c r="M289" i="2"/>
  <c r="F289" i="2"/>
  <c r="G289" i="2"/>
  <c r="H289" i="2"/>
  <c r="J289" i="2"/>
  <c r="L289" i="2"/>
  <c r="D289" i="2"/>
  <c r="C289" i="2"/>
  <c r="J234" i="2"/>
  <c r="K288" i="2"/>
  <c r="E288" i="2"/>
  <c r="M288" i="2"/>
  <c r="G288" i="2"/>
  <c r="L288" i="2"/>
  <c r="N288" i="2"/>
  <c r="F288" i="2"/>
  <c r="H288" i="2"/>
  <c r="D288" i="2"/>
  <c r="I288" i="2"/>
  <c r="C288" i="2"/>
  <c r="I280" i="2"/>
  <c r="K280" i="2"/>
  <c r="E280" i="2"/>
  <c r="M280" i="2"/>
  <c r="F280" i="2"/>
  <c r="G280" i="2"/>
  <c r="H280" i="2"/>
  <c r="J280" i="2"/>
  <c r="L280" i="2"/>
  <c r="N280" i="2"/>
  <c r="D280" i="2"/>
  <c r="I272" i="2"/>
  <c r="K272" i="2"/>
  <c r="E272" i="2"/>
  <c r="M272" i="2"/>
  <c r="H272" i="2"/>
  <c r="J272" i="2"/>
  <c r="L272" i="2"/>
  <c r="N272" i="2"/>
  <c r="F272" i="2"/>
  <c r="D272" i="2"/>
  <c r="I264" i="2"/>
  <c r="K264" i="2"/>
  <c r="E264" i="2"/>
  <c r="M264" i="2"/>
  <c r="L264" i="2"/>
  <c r="N264" i="2"/>
  <c r="F264" i="2"/>
  <c r="G264" i="2"/>
  <c r="H264" i="2"/>
  <c r="D264" i="2"/>
  <c r="H256" i="2"/>
  <c r="J256" i="2"/>
  <c r="K256" i="2"/>
  <c r="I256" i="2"/>
  <c r="M256" i="2"/>
  <c r="N256" i="2"/>
  <c r="E256" i="2"/>
  <c r="F256" i="2"/>
  <c r="G256" i="2"/>
  <c r="D256" i="2"/>
  <c r="H248" i="2"/>
  <c r="J248" i="2"/>
  <c r="K248" i="2"/>
  <c r="M248" i="2"/>
  <c r="F248" i="2"/>
  <c r="L248" i="2"/>
  <c r="N248" i="2"/>
  <c r="E248" i="2"/>
  <c r="G248" i="2"/>
  <c r="D248" i="2"/>
  <c r="H240" i="2"/>
  <c r="J240" i="2"/>
  <c r="K240" i="2"/>
  <c r="M240" i="2"/>
  <c r="F240" i="2"/>
  <c r="G240" i="2"/>
  <c r="I240" i="2"/>
  <c r="E240" i="2"/>
  <c r="L240" i="2"/>
  <c r="N240" i="2"/>
  <c r="D240" i="2"/>
  <c r="H232" i="2"/>
  <c r="J232" i="2"/>
  <c r="K232" i="2"/>
  <c r="F232" i="2"/>
  <c r="I232" i="2"/>
  <c r="L232" i="2"/>
  <c r="M232" i="2"/>
  <c r="E232" i="2"/>
  <c r="G232" i="2"/>
  <c r="N232" i="2"/>
  <c r="D232" i="2"/>
  <c r="H224" i="2"/>
  <c r="J224" i="2"/>
  <c r="K224" i="2"/>
  <c r="F224" i="2"/>
  <c r="I224" i="2"/>
  <c r="M224" i="2"/>
  <c r="N224" i="2"/>
  <c r="L224" i="2"/>
  <c r="E224" i="2"/>
  <c r="D224" i="2"/>
  <c r="H216" i="2"/>
  <c r="J216" i="2"/>
  <c r="K216" i="2"/>
  <c r="I216" i="2"/>
  <c r="M216" i="2"/>
  <c r="E216" i="2"/>
  <c r="F216" i="2"/>
  <c r="G216" i="2"/>
  <c r="L216" i="2"/>
  <c r="N216" i="2"/>
  <c r="D216" i="2"/>
  <c r="E208" i="2"/>
  <c r="M208" i="2"/>
  <c r="F208" i="2"/>
  <c r="G208" i="2"/>
  <c r="H208" i="2"/>
  <c r="I208" i="2"/>
  <c r="J208" i="2"/>
  <c r="K208" i="2"/>
  <c r="N208" i="2"/>
  <c r="L208" i="2"/>
  <c r="D208" i="2"/>
  <c r="F200" i="2"/>
  <c r="N200" i="2"/>
  <c r="G200" i="2"/>
  <c r="H200" i="2"/>
  <c r="I200" i="2"/>
  <c r="J200" i="2"/>
  <c r="K200" i="2"/>
  <c r="L200" i="2"/>
  <c r="E200" i="2"/>
  <c r="M200" i="2"/>
  <c r="F192" i="2"/>
  <c r="N192" i="2"/>
  <c r="G192" i="2"/>
  <c r="H192" i="2"/>
  <c r="I192" i="2"/>
  <c r="J192" i="2"/>
  <c r="K192" i="2"/>
  <c r="L192" i="2"/>
  <c r="M192" i="2"/>
  <c r="E192" i="2"/>
  <c r="G184" i="2"/>
  <c r="J184" i="2"/>
  <c r="K184" i="2"/>
  <c r="L184" i="2"/>
  <c r="M184" i="2"/>
  <c r="N184" i="2"/>
  <c r="E184" i="2"/>
  <c r="F184" i="2"/>
  <c r="H184" i="2"/>
  <c r="I184" i="2"/>
  <c r="G176" i="2"/>
  <c r="J176" i="2"/>
  <c r="E176" i="2"/>
  <c r="F176" i="2"/>
  <c r="H176" i="2"/>
  <c r="I176" i="2"/>
  <c r="K176" i="2"/>
  <c r="L176" i="2"/>
  <c r="M176" i="2"/>
  <c r="N176" i="2"/>
  <c r="G168" i="2"/>
  <c r="J168" i="2"/>
  <c r="K168" i="2"/>
  <c r="L168" i="2"/>
  <c r="M168" i="2"/>
  <c r="N168" i="2"/>
  <c r="E168" i="2"/>
  <c r="F168" i="2"/>
  <c r="H168" i="2"/>
  <c r="I168" i="2"/>
  <c r="F160" i="2"/>
  <c r="N160" i="2"/>
  <c r="H160" i="2"/>
  <c r="I160" i="2"/>
  <c r="E160" i="2"/>
  <c r="G160" i="2"/>
  <c r="J160" i="2"/>
  <c r="K160" i="2"/>
  <c r="L160" i="2"/>
  <c r="M160" i="2"/>
  <c r="D160" i="2"/>
  <c r="C160" i="2"/>
  <c r="E144" i="2"/>
  <c r="M144" i="2"/>
  <c r="H144" i="2"/>
  <c r="L144" i="2"/>
  <c r="F144" i="2"/>
  <c r="I144" i="2"/>
  <c r="J144" i="2"/>
  <c r="K144" i="2"/>
  <c r="N144" i="2"/>
  <c r="G144" i="2"/>
  <c r="D144" i="2"/>
  <c r="K136" i="2"/>
  <c r="J136" i="2"/>
  <c r="G128" i="2"/>
  <c r="K128" i="2"/>
  <c r="E128" i="2"/>
  <c r="H128" i="2"/>
  <c r="I128" i="2"/>
  <c r="F128" i="2"/>
  <c r="J128" i="2"/>
  <c r="L128" i="2"/>
  <c r="M128" i="2"/>
  <c r="N128" i="2"/>
  <c r="D128" i="2"/>
  <c r="C128" i="2"/>
  <c r="G120" i="2"/>
  <c r="I120" i="2"/>
  <c r="K120" i="2"/>
  <c r="M120" i="2"/>
  <c r="E120" i="2"/>
  <c r="H120" i="2"/>
  <c r="J120" i="2"/>
  <c r="F120" i="2"/>
  <c r="L120" i="2"/>
  <c r="N120" i="2"/>
  <c r="D120" i="2"/>
  <c r="C120" i="2"/>
  <c r="E112" i="2"/>
  <c r="M112" i="2"/>
  <c r="G112" i="2"/>
  <c r="I112" i="2"/>
  <c r="F112" i="2"/>
  <c r="J112" i="2"/>
  <c r="K112" i="2"/>
  <c r="L112" i="2"/>
  <c r="H112" i="2"/>
  <c r="N112" i="2"/>
  <c r="D112" i="2"/>
  <c r="C112" i="2"/>
  <c r="E104" i="2"/>
  <c r="M104" i="2"/>
  <c r="G104" i="2"/>
  <c r="I104" i="2"/>
  <c r="J104" i="2"/>
  <c r="L104" i="2"/>
  <c r="N104" i="2"/>
  <c r="F104" i="2"/>
  <c r="H104" i="2"/>
  <c r="K104" i="2"/>
  <c r="D104" i="2"/>
  <c r="C104" i="2"/>
  <c r="K96" i="2"/>
  <c r="E96" i="2"/>
  <c r="M96" i="2"/>
  <c r="G96" i="2"/>
  <c r="F96" i="2"/>
  <c r="H96" i="2"/>
  <c r="L96" i="2"/>
  <c r="N96" i="2"/>
  <c r="I96" i="2"/>
  <c r="J96" i="2"/>
  <c r="D96" i="2"/>
  <c r="C96" i="2"/>
  <c r="K88" i="2"/>
  <c r="E88" i="2"/>
  <c r="M88" i="2"/>
  <c r="G88" i="2"/>
  <c r="F88" i="2"/>
  <c r="I88" i="2"/>
  <c r="J88" i="2"/>
  <c r="L88" i="2"/>
  <c r="N88" i="2"/>
  <c r="H88" i="2"/>
  <c r="D88" i="2"/>
  <c r="C88" i="2"/>
  <c r="K80" i="2"/>
  <c r="E80" i="2"/>
  <c r="M80" i="2"/>
  <c r="G80" i="2"/>
  <c r="I80" i="2"/>
  <c r="L80" i="2"/>
  <c r="N80" i="2"/>
  <c r="F80" i="2"/>
  <c r="H80" i="2"/>
  <c r="J80" i="2"/>
  <c r="D80" i="2"/>
  <c r="C80" i="2"/>
  <c r="K72" i="2"/>
  <c r="E72" i="2"/>
  <c r="M72" i="2"/>
  <c r="G72" i="2"/>
  <c r="I72" i="2"/>
  <c r="J72" i="2"/>
  <c r="L72" i="2"/>
  <c r="F72" i="2"/>
  <c r="H72" i="2"/>
  <c r="N72" i="2"/>
  <c r="C72" i="2"/>
  <c r="J64" i="2"/>
  <c r="K64" i="2"/>
  <c r="L64" i="2"/>
  <c r="E64" i="2"/>
  <c r="M64" i="2"/>
  <c r="F64" i="2"/>
  <c r="N64" i="2"/>
  <c r="G64" i="2"/>
  <c r="H64" i="2"/>
  <c r="I64" i="2"/>
  <c r="D64" i="2"/>
  <c r="C64" i="2"/>
  <c r="J56" i="2"/>
  <c r="K56" i="2"/>
  <c r="L56" i="2"/>
  <c r="E56" i="2"/>
  <c r="M56" i="2"/>
  <c r="F56" i="2"/>
  <c r="N56" i="2"/>
  <c r="G56" i="2"/>
  <c r="H56" i="2"/>
  <c r="I56" i="2"/>
  <c r="D56" i="2"/>
  <c r="C56" i="2"/>
  <c r="J48" i="2"/>
  <c r="K48" i="2"/>
  <c r="L48" i="2"/>
  <c r="E48" i="2"/>
  <c r="M48" i="2"/>
  <c r="F48" i="2"/>
  <c r="N48" i="2"/>
  <c r="G48" i="2"/>
  <c r="H48" i="2"/>
  <c r="I48" i="2"/>
  <c r="D48" i="2"/>
  <c r="C48" i="2"/>
  <c r="J40" i="2"/>
  <c r="K40" i="2"/>
  <c r="L40" i="2"/>
  <c r="E40" i="2"/>
  <c r="M40" i="2"/>
  <c r="F40" i="2"/>
  <c r="N40" i="2"/>
  <c r="G40" i="2"/>
  <c r="H40" i="2"/>
  <c r="I40" i="2"/>
  <c r="C40" i="2"/>
  <c r="I32" i="2"/>
  <c r="J32" i="2"/>
  <c r="K32" i="2"/>
  <c r="L32" i="2"/>
  <c r="E32" i="2"/>
  <c r="M32" i="2"/>
  <c r="F32" i="2"/>
  <c r="N32" i="2"/>
  <c r="G32" i="2"/>
  <c r="H32" i="2"/>
  <c r="D32" i="2"/>
  <c r="C32" i="2"/>
  <c r="I24" i="2"/>
  <c r="J24" i="2"/>
  <c r="K24" i="2"/>
  <c r="L24" i="2"/>
  <c r="E24" i="2"/>
  <c r="M24" i="2"/>
  <c r="F24" i="2"/>
  <c r="N24" i="2"/>
  <c r="G24" i="2"/>
  <c r="H24" i="2"/>
  <c r="D24" i="2"/>
  <c r="C24" i="2"/>
  <c r="I16" i="2"/>
  <c r="J16" i="2"/>
  <c r="K16" i="2"/>
  <c r="L16" i="2"/>
  <c r="E16" i="2"/>
  <c r="M16" i="2"/>
  <c r="F16" i="2"/>
  <c r="N16" i="2"/>
  <c r="G16" i="2"/>
  <c r="H16" i="2"/>
  <c r="D16" i="2"/>
  <c r="C16" i="2"/>
  <c r="I8" i="2"/>
  <c r="J8" i="2"/>
  <c r="K8" i="2"/>
  <c r="L8" i="2"/>
  <c r="E8" i="2"/>
  <c r="M8" i="2"/>
  <c r="F8" i="2"/>
  <c r="N8" i="2"/>
  <c r="G8" i="2"/>
  <c r="H8" i="2"/>
  <c r="C8" i="2"/>
  <c r="C264" i="2"/>
  <c r="C200" i="2"/>
  <c r="C150" i="2"/>
  <c r="D90" i="2"/>
  <c r="E287" i="2"/>
  <c r="M287" i="2"/>
  <c r="G287" i="2"/>
  <c r="I287" i="2"/>
  <c r="J287" i="2"/>
  <c r="K287" i="2"/>
  <c r="L287" i="2"/>
  <c r="N287" i="2"/>
  <c r="D287" i="2"/>
  <c r="C287" i="2"/>
  <c r="F287" i="2"/>
  <c r="J255" i="2"/>
  <c r="L255" i="2"/>
  <c r="E255" i="2"/>
  <c r="M255" i="2"/>
  <c r="G255" i="2"/>
  <c r="I255" i="2"/>
  <c r="N255" i="2"/>
  <c r="F255" i="2"/>
  <c r="H255" i="2"/>
  <c r="K255" i="2"/>
  <c r="D255" i="2"/>
  <c r="C255" i="2"/>
  <c r="G215" i="2"/>
  <c r="J215" i="2"/>
  <c r="K215" i="2"/>
  <c r="L215" i="2"/>
  <c r="E215" i="2"/>
  <c r="M215" i="2"/>
  <c r="H215" i="2"/>
  <c r="N215" i="2"/>
  <c r="F215" i="2"/>
  <c r="I215" i="2"/>
  <c r="D215" i="2"/>
  <c r="C215" i="2"/>
  <c r="H191" i="2"/>
  <c r="I191" i="2"/>
  <c r="J191" i="2"/>
  <c r="K191" i="2"/>
  <c r="L191" i="2"/>
  <c r="E191" i="2"/>
  <c r="M191" i="2"/>
  <c r="F191" i="2"/>
  <c r="N191" i="2"/>
  <c r="G191" i="2"/>
  <c r="D191" i="2"/>
  <c r="C191" i="2"/>
  <c r="G151" i="2"/>
  <c r="J151" i="2"/>
  <c r="F151" i="2"/>
  <c r="I151" i="2"/>
  <c r="K151" i="2"/>
  <c r="E151" i="2"/>
  <c r="H151" i="2"/>
  <c r="L151" i="2"/>
  <c r="M151" i="2"/>
  <c r="N151" i="2"/>
  <c r="D151" i="2"/>
  <c r="C151" i="2"/>
  <c r="I119" i="2"/>
  <c r="K119" i="2"/>
  <c r="E119" i="2"/>
  <c r="M119" i="2"/>
  <c r="J119" i="2"/>
  <c r="N119" i="2"/>
  <c r="L119" i="2"/>
  <c r="F119" i="2"/>
  <c r="G119" i="2"/>
  <c r="H119" i="2"/>
  <c r="D119" i="2"/>
  <c r="C119" i="2"/>
  <c r="C283" i="2"/>
  <c r="C240" i="2"/>
  <c r="D82" i="2"/>
  <c r="J264" i="2"/>
  <c r="J250" i="2"/>
  <c r="E274" i="2"/>
  <c r="M274" i="2"/>
  <c r="G274" i="2"/>
  <c r="I274" i="2"/>
  <c r="N274" i="2"/>
  <c r="D274" i="2"/>
  <c r="F274" i="2"/>
  <c r="H274" i="2"/>
  <c r="J274" i="2"/>
  <c r="K274" i="2"/>
  <c r="K279" i="2"/>
  <c r="E279" i="2"/>
  <c r="M279" i="2"/>
  <c r="G279" i="2"/>
  <c r="F279" i="2"/>
  <c r="H279" i="2"/>
  <c r="I279" i="2"/>
  <c r="J279" i="2"/>
  <c r="D279" i="2"/>
  <c r="L279" i="2"/>
  <c r="C279" i="2"/>
  <c r="J247" i="2"/>
  <c r="L247" i="2"/>
  <c r="E247" i="2"/>
  <c r="M247" i="2"/>
  <c r="I247" i="2"/>
  <c r="N247" i="2"/>
  <c r="F247" i="2"/>
  <c r="G247" i="2"/>
  <c r="H247" i="2"/>
  <c r="K247" i="2"/>
  <c r="D247" i="2"/>
  <c r="C247" i="2"/>
  <c r="G207" i="2"/>
  <c r="H207" i="2"/>
  <c r="I207" i="2"/>
  <c r="J207" i="2"/>
  <c r="K207" i="2"/>
  <c r="L207" i="2"/>
  <c r="E207" i="2"/>
  <c r="M207" i="2"/>
  <c r="N207" i="2"/>
  <c r="F207" i="2"/>
  <c r="D207" i="2"/>
  <c r="C207" i="2"/>
  <c r="I175" i="2"/>
  <c r="L175" i="2"/>
  <c r="E175" i="2"/>
  <c r="F175" i="2"/>
  <c r="G175" i="2"/>
  <c r="H175" i="2"/>
  <c r="J175" i="2"/>
  <c r="K175" i="2"/>
  <c r="M175" i="2"/>
  <c r="N175" i="2"/>
  <c r="D175" i="2"/>
  <c r="C175" i="2"/>
  <c r="I127" i="2"/>
  <c r="E127" i="2"/>
  <c r="M127" i="2"/>
  <c r="G127" i="2"/>
  <c r="H127" i="2"/>
  <c r="K127" i="2"/>
  <c r="N127" i="2"/>
  <c r="F127" i="2"/>
  <c r="J127" i="2"/>
  <c r="L127" i="2"/>
  <c r="D127" i="2"/>
  <c r="C127" i="2"/>
  <c r="E278" i="2"/>
  <c r="M278" i="2"/>
  <c r="G278" i="2"/>
  <c r="I278" i="2"/>
  <c r="L278" i="2"/>
  <c r="N278" i="2"/>
  <c r="F278" i="2"/>
  <c r="D278" i="2"/>
  <c r="H278" i="2"/>
  <c r="C278" i="2"/>
  <c r="J278" i="2"/>
  <c r="L254" i="2"/>
  <c r="F254" i="2"/>
  <c r="N254" i="2"/>
  <c r="G254" i="2"/>
  <c r="H254" i="2"/>
  <c r="J254" i="2"/>
  <c r="M254" i="2"/>
  <c r="D254" i="2"/>
  <c r="E254" i="2"/>
  <c r="C254" i="2"/>
  <c r="I254" i="2"/>
  <c r="L238" i="2"/>
  <c r="F238" i="2"/>
  <c r="N238" i="2"/>
  <c r="G238" i="2"/>
  <c r="H238" i="2"/>
  <c r="J238" i="2"/>
  <c r="M238" i="2"/>
  <c r="I238" i="2"/>
  <c r="K238" i="2"/>
  <c r="D238" i="2"/>
  <c r="C238" i="2"/>
  <c r="L222" i="2"/>
  <c r="F222" i="2"/>
  <c r="N222" i="2"/>
  <c r="G222" i="2"/>
  <c r="M222" i="2"/>
  <c r="H222" i="2"/>
  <c r="I222" i="2"/>
  <c r="J222" i="2"/>
  <c r="E222" i="2"/>
  <c r="K222" i="2"/>
  <c r="D222" i="2"/>
  <c r="C222" i="2"/>
  <c r="I206" i="2"/>
  <c r="J206" i="2"/>
  <c r="K206" i="2"/>
  <c r="L206" i="2"/>
  <c r="E206" i="2"/>
  <c r="M206" i="2"/>
  <c r="F206" i="2"/>
  <c r="N206" i="2"/>
  <c r="G206" i="2"/>
  <c r="H206" i="2"/>
  <c r="D206" i="2"/>
  <c r="C206" i="2"/>
  <c r="J190" i="2"/>
  <c r="K190" i="2"/>
  <c r="L190" i="2"/>
  <c r="E190" i="2"/>
  <c r="M190" i="2"/>
  <c r="F190" i="2"/>
  <c r="N190" i="2"/>
  <c r="G190" i="2"/>
  <c r="H190" i="2"/>
  <c r="I190" i="2"/>
  <c r="D190" i="2"/>
  <c r="C190" i="2"/>
  <c r="K182" i="2"/>
  <c r="F182" i="2"/>
  <c r="N182" i="2"/>
  <c r="I182" i="2"/>
  <c r="J182" i="2"/>
  <c r="L182" i="2"/>
  <c r="M182" i="2"/>
  <c r="E182" i="2"/>
  <c r="G182" i="2"/>
  <c r="H182" i="2"/>
  <c r="D182" i="2"/>
  <c r="C182" i="2"/>
  <c r="K174" i="2"/>
  <c r="F174" i="2"/>
  <c r="N174" i="2"/>
  <c r="E174" i="2"/>
  <c r="G174" i="2"/>
  <c r="H174" i="2"/>
  <c r="I174" i="2"/>
  <c r="J174" i="2"/>
  <c r="L174" i="2"/>
  <c r="M174" i="2"/>
  <c r="D174" i="2"/>
  <c r="C174" i="2"/>
  <c r="E166" i="2"/>
  <c r="L166" i="2"/>
  <c r="F158" i="2"/>
  <c r="J158" i="2"/>
  <c r="L158" i="2"/>
  <c r="M158" i="2"/>
  <c r="N158" i="2"/>
  <c r="E158" i="2"/>
  <c r="G158" i="2"/>
  <c r="H158" i="2"/>
  <c r="I158" i="2"/>
  <c r="K158" i="2"/>
  <c r="D158" i="2"/>
  <c r="C158" i="2"/>
  <c r="I150" i="2"/>
  <c r="L150" i="2"/>
  <c r="F150" i="2"/>
  <c r="H150" i="2"/>
  <c r="J150" i="2"/>
  <c r="E150" i="2"/>
  <c r="G150" i="2"/>
  <c r="K150" i="2"/>
  <c r="M150" i="2"/>
  <c r="N150" i="2"/>
  <c r="I142" i="2"/>
  <c r="L142" i="2"/>
  <c r="K142" i="2"/>
  <c r="N142" i="2"/>
  <c r="E142" i="2"/>
  <c r="J142" i="2"/>
  <c r="M142" i="2"/>
  <c r="F142" i="2"/>
  <c r="G142" i="2"/>
  <c r="H142" i="2"/>
  <c r="H134" i="2"/>
  <c r="J134" i="2"/>
  <c r="K134" i="2"/>
  <c r="G134" i="2"/>
  <c r="L134" i="2"/>
  <c r="M134" i="2"/>
  <c r="E134" i="2"/>
  <c r="F134" i="2"/>
  <c r="I134" i="2"/>
  <c r="N134" i="2"/>
  <c r="D134" i="2"/>
  <c r="C134" i="2"/>
  <c r="K126" i="2"/>
  <c r="G126" i="2"/>
  <c r="N126" i="2"/>
  <c r="F126" i="2"/>
  <c r="H126" i="2"/>
  <c r="I126" i="2"/>
  <c r="J126" i="2"/>
  <c r="E126" i="2"/>
  <c r="L126" i="2"/>
  <c r="M126" i="2"/>
  <c r="D126" i="2"/>
  <c r="C126" i="2"/>
  <c r="K118" i="2"/>
  <c r="E118" i="2"/>
  <c r="M118" i="2"/>
  <c r="G118" i="2"/>
  <c r="H118" i="2"/>
  <c r="J118" i="2"/>
  <c r="L118" i="2"/>
  <c r="F118" i="2"/>
  <c r="I118" i="2"/>
  <c r="N118" i="2"/>
  <c r="D118" i="2"/>
  <c r="C118" i="2"/>
  <c r="I110" i="2"/>
  <c r="K110" i="2"/>
  <c r="E110" i="2"/>
  <c r="M110" i="2"/>
  <c r="N110" i="2"/>
  <c r="F110" i="2"/>
  <c r="J110" i="2"/>
  <c r="G110" i="2"/>
  <c r="H110" i="2"/>
  <c r="L110" i="2"/>
  <c r="D110" i="2"/>
  <c r="C110" i="2"/>
  <c r="I102" i="2"/>
  <c r="K102" i="2"/>
  <c r="E102" i="2"/>
  <c r="M102" i="2"/>
  <c r="G102" i="2"/>
  <c r="H102" i="2"/>
  <c r="F102" i="2"/>
  <c r="J102" i="2"/>
  <c r="N102" i="2"/>
  <c r="L102" i="2"/>
  <c r="D102" i="2"/>
  <c r="C102" i="2"/>
  <c r="G94" i="2"/>
  <c r="I94" i="2"/>
  <c r="K94" i="2"/>
  <c r="J94" i="2"/>
  <c r="M94" i="2"/>
  <c r="N94" i="2"/>
  <c r="L94" i="2"/>
  <c r="E94" i="2"/>
  <c r="H94" i="2"/>
  <c r="F94" i="2"/>
  <c r="D94" i="2"/>
  <c r="C94" i="2"/>
  <c r="G86" i="2"/>
  <c r="I86" i="2"/>
  <c r="K86" i="2"/>
  <c r="M86" i="2"/>
  <c r="E86" i="2"/>
  <c r="H86" i="2"/>
  <c r="J86" i="2"/>
  <c r="L86" i="2"/>
  <c r="N86" i="2"/>
  <c r="F86" i="2"/>
  <c r="D86" i="2"/>
  <c r="C86" i="2"/>
  <c r="G78" i="2"/>
  <c r="I78" i="2"/>
  <c r="K78" i="2"/>
  <c r="F78" i="2"/>
  <c r="H78" i="2"/>
  <c r="E78" i="2"/>
  <c r="J78" i="2"/>
  <c r="L78" i="2"/>
  <c r="M78" i="2"/>
  <c r="N78" i="2"/>
  <c r="D78" i="2"/>
  <c r="C78" i="2"/>
  <c r="J70" i="2"/>
  <c r="K70" i="2"/>
  <c r="L70" i="2"/>
  <c r="I70" i="2"/>
  <c r="N70" i="2"/>
  <c r="E70" i="2"/>
  <c r="M70" i="2"/>
  <c r="F70" i="2"/>
  <c r="H70" i="2"/>
  <c r="G70" i="2"/>
  <c r="D70" i="2"/>
  <c r="C70" i="2"/>
  <c r="F62" i="2"/>
  <c r="N62" i="2"/>
  <c r="G62" i="2"/>
  <c r="H62" i="2"/>
  <c r="I62" i="2"/>
  <c r="J62" i="2"/>
  <c r="K62" i="2"/>
  <c r="L62" i="2"/>
  <c r="E62" i="2"/>
  <c r="M62" i="2"/>
  <c r="D62" i="2"/>
  <c r="C62" i="2"/>
  <c r="F54" i="2"/>
  <c r="N54" i="2"/>
  <c r="G54" i="2"/>
  <c r="H54" i="2"/>
  <c r="I54" i="2"/>
  <c r="J54" i="2"/>
  <c r="K54" i="2"/>
  <c r="L54" i="2"/>
  <c r="E54" i="2"/>
  <c r="M54" i="2"/>
  <c r="D54" i="2"/>
  <c r="C54" i="2"/>
  <c r="F46" i="2"/>
  <c r="N46" i="2"/>
  <c r="G46" i="2"/>
  <c r="H46" i="2"/>
  <c r="I46" i="2"/>
  <c r="J46" i="2"/>
  <c r="K46" i="2"/>
  <c r="L46" i="2"/>
  <c r="E46" i="2"/>
  <c r="M46" i="2"/>
  <c r="D46" i="2"/>
  <c r="C46" i="2"/>
  <c r="F38" i="2"/>
  <c r="N38" i="2"/>
  <c r="G38" i="2"/>
  <c r="H38" i="2"/>
  <c r="I38" i="2"/>
  <c r="J38" i="2"/>
  <c r="K38" i="2"/>
  <c r="L38" i="2"/>
  <c r="E38" i="2"/>
  <c r="M38" i="2"/>
  <c r="D38" i="2"/>
  <c r="C38" i="2"/>
  <c r="E30" i="2"/>
  <c r="M30" i="2"/>
  <c r="F30" i="2"/>
  <c r="N30" i="2"/>
  <c r="G30" i="2"/>
  <c r="H30" i="2"/>
  <c r="I30" i="2"/>
  <c r="J30" i="2"/>
  <c r="K30" i="2"/>
  <c r="L30" i="2"/>
  <c r="D30" i="2"/>
  <c r="C30" i="2"/>
  <c r="E22" i="2"/>
  <c r="M22" i="2"/>
  <c r="F22" i="2"/>
  <c r="N22" i="2"/>
  <c r="G22" i="2"/>
  <c r="H22" i="2"/>
  <c r="I22" i="2"/>
  <c r="J22" i="2"/>
  <c r="K22" i="2"/>
  <c r="L22" i="2"/>
  <c r="D22" i="2"/>
  <c r="C22" i="2"/>
  <c r="E14" i="2"/>
  <c r="M14" i="2"/>
  <c r="F14" i="2"/>
  <c r="N14" i="2"/>
  <c r="G14" i="2"/>
  <c r="H14" i="2"/>
  <c r="I14" i="2"/>
  <c r="J14" i="2"/>
  <c r="K14" i="2"/>
  <c r="L14" i="2"/>
  <c r="D14" i="2"/>
  <c r="C14" i="2"/>
  <c r="E6" i="2"/>
  <c r="M6" i="2"/>
  <c r="F6" i="2"/>
  <c r="N6" i="2"/>
  <c r="G6" i="2"/>
  <c r="H6" i="2"/>
  <c r="I6" i="2"/>
  <c r="J6" i="2"/>
  <c r="K6" i="2"/>
  <c r="L6" i="2"/>
  <c r="D6" i="2"/>
  <c r="C6" i="2"/>
  <c r="C280" i="2"/>
  <c r="C258" i="2"/>
  <c r="C216" i="2"/>
  <c r="C142" i="2"/>
  <c r="D142" i="2"/>
  <c r="D72" i="2"/>
  <c r="D8" i="2"/>
  <c r="I248" i="2"/>
  <c r="G224" i="2"/>
  <c r="G290" i="2"/>
  <c r="I290" i="2"/>
  <c r="K290" i="2"/>
  <c r="E290" i="2"/>
  <c r="C290" i="2"/>
  <c r="F290" i="2"/>
  <c r="H290" i="2"/>
  <c r="J290" i="2"/>
  <c r="L290" i="2"/>
  <c r="M290" i="2"/>
  <c r="N290" i="2"/>
  <c r="K263" i="2"/>
  <c r="E263" i="2"/>
  <c r="M263" i="2"/>
  <c r="G263" i="2"/>
  <c r="I263" i="2"/>
  <c r="J263" i="2"/>
  <c r="L263" i="2"/>
  <c r="N263" i="2"/>
  <c r="D263" i="2"/>
  <c r="F263" i="2"/>
  <c r="C263" i="2"/>
  <c r="J231" i="2"/>
  <c r="L231" i="2"/>
  <c r="E231" i="2"/>
  <c r="M231" i="2"/>
  <c r="N231" i="2"/>
  <c r="G231" i="2"/>
  <c r="H231" i="2"/>
  <c r="I231" i="2"/>
  <c r="K231" i="2"/>
  <c r="D231" i="2"/>
  <c r="C231" i="2"/>
  <c r="H199" i="2"/>
  <c r="I199" i="2"/>
  <c r="J199" i="2"/>
  <c r="K199" i="2"/>
  <c r="L199" i="2"/>
  <c r="E199" i="2"/>
  <c r="M199" i="2"/>
  <c r="F199" i="2"/>
  <c r="N199" i="2"/>
  <c r="G199" i="2"/>
  <c r="D199" i="2"/>
  <c r="C199" i="2"/>
  <c r="I167" i="2"/>
  <c r="K167" i="2"/>
  <c r="L167" i="2"/>
  <c r="H167" i="2"/>
  <c r="J167" i="2"/>
  <c r="M167" i="2"/>
  <c r="N167" i="2"/>
  <c r="E167" i="2"/>
  <c r="F167" i="2"/>
  <c r="G167" i="2"/>
  <c r="D167" i="2"/>
  <c r="C167" i="2"/>
  <c r="G143" i="2"/>
  <c r="J143" i="2"/>
  <c r="L143" i="2"/>
  <c r="N143" i="2"/>
  <c r="E143" i="2"/>
  <c r="F143" i="2"/>
  <c r="H143" i="2"/>
  <c r="I143" i="2"/>
  <c r="K143" i="2"/>
  <c r="M143" i="2"/>
  <c r="D143" i="2"/>
  <c r="C143" i="2"/>
  <c r="E270" i="2"/>
  <c r="M270" i="2"/>
  <c r="G270" i="2"/>
  <c r="I270" i="2"/>
  <c r="F270" i="2"/>
  <c r="H270" i="2"/>
  <c r="J270" i="2"/>
  <c r="D270" i="2"/>
  <c r="K270" i="2"/>
  <c r="C270" i="2"/>
  <c r="L270" i="2"/>
  <c r="I3" i="2"/>
  <c r="E3" i="2"/>
  <c r="M3" i="2"/>
  <c r="J3" i="2"/>
  <c r="K3" i="2"/>
  <c r="L3" i="2"/>
  <c r="N3" i="2"/>
  <c r="C3" i="2"/>
  <c r="F3" i="2"/>
  <c r="G3" i="2"/>
  <c r="H3" i="2"/>
  <c r="G272" i="2"/>
  <c r="G282" i="2"/>
  <c r="I282" i="2"/>
  <c r="K282" i="2"/>
  <c r="H282" i="2"/>
  <c r="C282" i="2"/>
  <c r="J282" i="2"/>
  <c r="L282" i="2"/>
  <c r="M282" i="2"/>
  <c r="N282" i="2"/>
  <c r="E282" i="2"/>
  <c r="K271" i="2"/>
  <c r="E271" i="2"/>
  <c r="M271" i="2"/>
  <c r="G271" i="2"/>
  <c r="F271" i="2"/>
  <c r="H271" i="2"/>
  <c r="I271" i="2"/>
  <c r="J271" i="2"/>
  <c r="L271" i="2"/>
  <c r="N271" i="2"/>
  <c r="D271" i="2"/>
  <c r="C271" i="2"/>
  <c r="J239" i="2"/>
  <c r="L239" i="2"/>
  <c r="E239" i="2"/>
  <c r="M239" i="2"/>
  <c r="I239" i="2"/>
  <c r="N239" i="2"/>
  <c r="F239" i="2"/>
  <c r="G239" i="2"/>
  <c r="H239" i="2"/>
  <c r="K239" i="2"/>
  <c r="D239" i="2"/>
  <c r="C239" i="2"/>
  <c r="J223" i="2"/>
  <c r="L223" i="2"/>
  <c r="E223" i="2"/>
  <c r="M223" i="2"/>
  <c r="G223" i="2"/>
  <c r="I223" i="2"/>
  <c r="K223" i="2"/>
  <c r="N223" i="2"/>
  <c r="F223" i="2"/>
  <c r="H223" i="2"/>
  <c r="D223" i="2"/>
  <c r="C223" i="2"/>
  <c r="I183" i="2"/>
  <c r="L183" i="2"/>
  <c r="J183" i="2"/>
  <c r="K183" i="2"/>
  <c r="M183" i="2"/>
  <c r="N183" i="2"/>
  <c r="E183" i="2"/>
  <c r="F183" i="2"/>
  <c r="G183" i="2"/>
  <c r="H183" i="2"/>
  <c r="D183" i="2"/>
  <c r="C183" i="2"/>
  <c r="H159" i="2"/>
  <c r="J159" i="2"/>
  <c r="K159" i="2"/>
  <c r="E159" i="2"/>
  <c r="F159" i="2"/>
  <c r="G159" i="2"/>
  <c r="I159" i="2"/>
  <c r="L159" i="2"/>
  <c r="M159" i="2"/>
  <c r="N159" i="2"/>
  <c r="F135" i="2"/>
  <c r="N135" i="2"/>
  <c r="H135" i="2"/>
  <c r="I135" i="2"/>
  <c r="K135" i="2"/>
  <c r="M135" i="2"/>
  <c r="L135" i="2"/>
  <c r="E135" i="2"/>
  <c r="G135" i="2"/>
  <c r="J135" i="2"/>
  <c r="D135" i="2"/>
  <c r="C135" i="2"/>
  <c r="G286" i="2"/>
  <c r="I286" i="2"/>
  <c r="K286" i="2"/>
  <c r="F286" i="2"/>
  <c r="H286" i="2"/>
  <c r="J286" i="2"/>
  <c r="L286" i="2"/>
  <c r="D286" i="2"/>
  <c r="M286" i="2"/>
  <c r="C286" i="2"/>
  <c r="N286" i="2"/>
  <c r="E262" i="2"/>
  <c r="M262" i="2"/>
  <c r="G262" i="2"/>
  <c r="I262" i="2"/>
  <c r="F262" i="2"/>
  <c r="H262" i="2"/>
  <c r="J262" i="2"/>
  <c r="K262" i="2"/>
  <c r="L262" i="2"/>
  <c r="D262" i="2"/>
  <c r="N262" i="2"/>
  <c r="C262" i="2"/>
  <c r="L246" i="2"/>
  <c r="F246" i="2"/>
  <c r="N246" i="2"/>
  <c r="G246" i="2"/>
  <c r="H246" i="2"/>
  <c r="J246" i="2"/>
  <c r="M246" i="2"/>
  <c r="K246" i="2"/>
  <c r="D246" i="2"/>
  <c r="C246" i="2"/>
  <c r="E246" i="2"/>
  <c r="L230" i="2"/>
  <c r="F230" i="2"/>
  <c r="N230" i="2"/>
  <c r="G230" i="2"/>
  <c r="J230" i="2"/>
  <c r="M230" i="2"/>
  <c r="E230" i="2"/>
  <c r="H230" i="2"/>
  <c r="D230" i="2"/>
  <c r="I230" i="2"/>
  <c r="C230" i="2"/>
  <c r="K230" i="2"/>
  <c r="I214" i="2"/>
  <c r="L214" i="2"/>
  <c r="E214" i="2"/>
  <c r="M214" i="2"/>
  <c r="F214" i="2"/>
  <c r="N214" i="2"/>
  <c r="G214" i="2"/>
  <c r="K214" i="2"/>
  <c r="H214" i="2"/>
  <c r="J214" i="2"/>
  <c r="D214" i="2"/>
  <c r="C214" i="2"/>
  <c r="J198" i="2"/>
  <c r="K198" i="2"/>
  <c r="L198" i="2"/>
  <c r="E198" i="2"/>
  <c r="M198" i="2"/>
  <c r="F198" i="2"/>
  <c r="N198" i="2"/>
  <c r="G198" i="2"/>
  <c r="H198" i="2"/>
  <c r="D198" i="2"/>
  <c r="C198" i="2"/>
  <c r="C256" i="2"/>
  <c r="C192" i="2"/>
  <c r="D200" i="2"/>
  <c r="K292" i="2"/>
  <c r="G292" i="2"/>
  <c r="I292" i="2"/>
  <c r="J292" i="2"/>
  <c r="D292" i="2"/>
  <c r="L292" i="2"/>
  <c r="C292" i="2"/>
  <c r="M292" i="2"/>
  <c r="N292" i="2"/>
  <c r="E292" i="2"/>
  <c r="F292" i="2"/>
  <c r="K284" i="2"/>
  <c r="E284" i="2"/>
  <c r="M284" i="2"/>
  <c r="G284" i="2"/>
  <c r="N284" i="2"/>
  <c r="D284" i="2"/>
  <c r="C284" i="2"/>
  <c r="F284" i="2"/>
  <c r="H284" i="2"/>
  <c r="I284" i="2"/>
  <c r="J284" i="2"/>
  <c r="I276" i="2"/>
  <c r="K276" i="2"/>
  <c r="E276" i="2"/>
  <c r="M276" i="2"/>
  <c r="G276" i="2"/>
  <c r="H276" i="2"/>
  <c r="J276" i="2"/>
  <c r="D276" i="2"/>
  <c r="L276" i="2"/>
  <c r="N276" i="2"/>
  <c r="I268" i="2"/>
  <c r="K268" i="2"/>
  <c r="E268" i="2"/>
  <c r="M268" i="2"/>
  <c r="J268" i="2"/>
  <c r="L268" i="2"/>
  <c r="N268" i="2"/>
  <c r="D268" i="2"/>
  <c r="F268" i="2"/>
  <c r="G268" i="2"/>
  <c r="H260" i="2"/>
  <c r="K260" i="2"/>
  <c r="E260" i="2"/>
  <c r="G260" i="2"/>
  <c r="J260" i="2"/>
  <c r="L260" i="2"/>
  <c r="M260" i="2"/>
  <c r="N260" i="2"/>
  <c r="D260" i="2"/>
  <c r="F260" i="2"/>
  <c r="H252" i="2"/>
  <c r="J252" i="2"/>
  <c r="K252" i="2"/>
  <c r="L252" i="2"/>
  <c r="N252" i="2"/>
  <c r="E252" i="2"/>
  <c r="M252" i="2"/>
  <c r="D252" i="2"/>
  <c r="F252" i="2"/>
  <c r="G252" i="2"/>
  <c r="H244" i="2"/>
  <c r="J244" i="2"/>
  <c r="K244" i="2"/>
  <c r="N244" i="2"/>
  <c r="E244" i="2"/>
  <c r="G244" i="2"/>
  <c r="L244" i="2"/>
  <c r="M244" i="2"/>
  <c r="D244" i="2"/>
  <c r="F244" i="2"/>
  <c r="H236" i="2"/>
  <c r="J236" i="2"/>
  <c r="K236" i="2"/>
  <c r="N236" i="2"/>
  <c r="E236" i="2"/>
  <c r="G236" i="2"/>
  <c r="I236" i="2"/>
  <c r="L236" i="2"/>
  <c r="D236" i="2"/>
  <c r="F236" i="2"/>
  <c r="M236" i="2"/>
  <c r="H228" i="2"/>
  <c r="J228" i="2"/>
  <c r="K228" i="2"/>
  <c r="E228" i="2"/>
  <c r="G228" i="2"/>
  <c r="L228" i="2"/>
  <c r="M228" i="2"/>
  <c r="N228" i="2"/>
  <c r="F228" i="2"/>
  <c r="I228" i="2"/>
  <c r="D228" i="2"/>
  <c r="H220" i="2"/>
  <c r="J220" i="2"/>
  <c r="K220" i="2"/>
  <c r="G220" i="2"/>
  <c r="L220" i="2"/>
  <c r="N220" i="2"/>
  <c r="E220" i="2"/>
  <c r="D220" i="2"/>
  <c r="F220" i="2"/>
  <c r="I220" i="2"/>
  <c r="E212" i="2"/>
  <c r="M212" i="2"/>
  <c r="H212" i="2"/>
  <c r="I212" i="2"/>
  <c r="J212" i="2"/>
  <c r="K212" i="2"/>
  <c r="L212" i="2"/>
  <c r="F212" i="2"/>
  <c r="D212" i="2"/>
  <c r="G212" i="2"/>
  <c r="E204" i="2"/>
  <c r="M204" i="2"/>
  <c r="F204" i="2"/>
  <c r="N204" i="2"/>
  <c r="G204" i="2"/>
  <c r="H204" i="2"/>
  <c r="I204" i="2"/>
  <c r="J204" i="2"/>
  <c r="K204" i="2"/>
  <c r="L204" i="2"/>
  <c r="D204" i="2"/>
  <c r="C274" i="2"/>
  <c r="C252" i="2"/>
  <c r="C232" i="2"/>
  <c r="C168" i="2"/>
  <c r="D192" i="2"/>
  <c r="H292" i="2"/>
  <c r="F282" i="2"/>
  <c r="N270" i="2"/>
  <c r="I260" i="2"/>
  <c r="I244" i="2"/>
  <c r="E291" i="2"/>
  <c r="M291" i="2"/>
  <c r="G291" i="2"/>
  <c r="I291" i="2"/>
  <c r="H291" i="2"/>
  <c r="D291" i="2"/>
  <c r="J291" i="2"/>
  <c r="K291" i="2"/>
  <c r="L291" i="2"/>
  <c r="N291" i="2"/>
  <c r="E283" i="2"/>
  <c r="M283" i="2"/>
  <c r="G283" i="2"/>
  <c r="I283" i="2"/>
  <c r="K283" i="2"/>
  <c r="D283" i="2"/>
  <c r="L283" i="2"/>
  <c r="N283" i="2"/>
  <c r="F283" i="2"/>
  <c r="H283" i="2"/>
  <c r="K275" i="2"/>
  <c r="E275" i="2"/>
  <c r="M275" i="2"/>
  <c r="G275" i="2"/>
  <c r="F275" i="2"/>
  <c r="D275" i="2"/>
  <c r="H275" i="2"/>
  <c r="C275" i="2"/>
  <c r="I275" i="2"/>
  <c r="J275" i="2"/>
  <c r="L275" i="2"/>
  <c r="N275" i="2"/>
  <c r="K267" i="2"/>
  <c r="E267" i="2"/>
  <c r="M267" i="2"/>
  <c r="G267" i="2"/>
  <c r="H267" i="2"/>
  <c r="I267" i="2"/>
  <c r="D267" i="2"/>
  <c r="J267" i="2"/>
  <c r="C267" i="2"/>
  <c r="L267" i="2"/>
  <c r="N267" i="2"/>
  <c r="J259" i="2"/>
  <c r="E259" i="2"/>
  <c r="M259" i="2"/>
  <c r="G259" i="2"/>
  <c r="I259" i="2"/>
  <c r="F259" i="2"/>
  <c r="D259" i="2"/>
  <c r="H259" i="2"/>
  <c r="C259" i="2"/>
  <c r="K259" i="2"/>
  <c r="L259" i="2"/>
  <c r="N259" i="2"/>
  <c r="J251" i="2"/>
  <c r="L251" i="2"/>
  <c r="E251" i="2"/>
  <c r="M251" i="2"/>
  <c r="H251" i="2"/>
  <c r="K251" i="2"/>
  <c r="F251" i="2"/>
  <c r="D251" i="2"/>
  <c r="G251" i="2"/>
  <c r="C251" i="2"/>
  <c r="I251" i="2"/>
  <c r="N251" i="2"/>
  <c r="J243" i="2"/>
  <c r="L243" i="2"/>
  <c r="E243" i="2"/>
  <c r="M243" i="2"/>
  <c r="H243" i="2"/>
  <c r="K243" i="2"/>
  <c r="F243" i="2"/>
  <c r="D243" i="2"/>
  <c r="C243" i="2"/>
  <c r="G243" i="2"/>
  <c r="I243" i="2"/>
  <c r="N243" i="2"/>
  <c r="J235" i="2"/>
  <c r="L235" i="2"/>
  <c r="E235" i="2"/>
  <c r="M235" i="2"/>
  <c r="K235" i="2"/>
  <c r="F235" i="2"/>
  <c r="G235" i="2"/>
  <c r="H235" i="2"/>
  <c r="I235" i="2"/>
  <c r="D235" i="2"/>
  <c r="N235" i="2"/>
  <c r="C235" i="2"/>
  <c r="J227" i="2"/>
  <c r="L227" i="2"/>
  <c r="E227" i="2"/>
  <c r="M227" i="2"/>
  <c r="F227" i="2"/>
  <c r="H227" i="2"/>
  <c r="I227" i="2"/>
  <c r="K227" i="2"/>
  <c r="D227" i="2"/>
  <c r="C227" i="2"/>
  <c r="G227" i="2"/>
  <c r="J219" i="2"/>
  <c r="L219" i="2"/>
  <c r="E219" i="2"/>
  <c r="M219" i="2"/>
  <c r="F219" i="2"/>
  <c r="H219" i="2"/>
  <c r="K219" i="2"/>
  <c r="N219" i="2"/>
  <c r="D219" i="2"/>
  <c r="C219" i="2"/>
  <c r="G219" i="2"/>
  <c r="I219" i="2"/>
  <c r="G211" i="2"/>
  <c r="J211" i="2"/>
  <c r="K211" i="2"/>
  <c r="L211" i="2"/>
  <c r="E211" i="2"/>
  <c r="M211" i="2"/>
  <c r="F211" i="2"/>
  <c r="I211" i="2"/>
  <c r="N211" i="2"/>
  <c r="D211" i="2"/>
  <c r="C211" i="2"/>
  <c r="H211" i="2"/>
  <c r="H203" i="2"/>
  <c r="F203" i="2"/>
  <c r="G203" i="2"/>
  <c r="N203" i="2"/>
  <c r="C203" i="2"/>
  <c r="H195" i="2"/>
  <c r="I195" i="2"/>
  <c r="J195" i="2"/>
  <c r="K195" i="2"/>
  <c r="L195" i="2"/>
  <c r="E195" i="2"/>
  <c r="M195" i="2"/>
  <c r="F195" i="2"/>
  <c r="N195" i="2"/>
  <c r="G195" i="2"/>
  <c r="D195" i="2"/>
  <c r="C195" i="2"/>
  <c r="H187" i="2"/>
  <c r="I187" i="2"/>
  <c r="J187" i="2"/>
  <c r="K187" i="2"/>
  <c r="L187" i="2"/>
  <c r="E187" i="2"/>
  <c r="M187" i="2"/>
  <c r="F187" i="2"/>
  <c r="N187" i="2"/>
  <c r="G187" i="2"/>
  <c r="D187" i="2"/>
  <c r="C187" i="2"/>
  <c r="I179" i="2"/>
  <c r="L179" i="2"/>
  <c r="G179" i="2"/>
  <c r="H179" i="2"/>
  <c r="J179" i="2"/>
  <c r="K179" i="2"/>
  <c r="M179" i="2"/>
  <c r="N179" i="2"/>
  <c r="E179" i="2"/>
  <c r="F179" i="2"/>
  <c r="D179" i="2"/>
  <c r="C179" i="2"/>
  <c r="I171" i="2"/>
  <c r="L171" i="2"/>
  <c r="M171" i="2"/>
  <c r="N171" i="2"/>
  <c r="E171" i="2"/>
  <c r="F171" i="2"/>
  <c r="G171" i="2"/>
  <c r="H171" i="2"/>
  <c r="J171" i="2"/>
  <c r="K171" i="2"/>
  <c r="D171" i="2"/>
  <c r="C171" i="2"/>
  <c r="H163" i="2"/>
  <c r="J163" i="2"/>
  <c r="K163" i="2"/>
  <c r="N163" i="2"/>
  <c r="E163" i="2"/>
  <c r="F163" i="2"/>
  <c r="G163" i="2"/>
  <c r="I163" i="2"/>
  <c r="L163" i="2"/>
  <c r="M163" i="2"/>
  <c r="D163" i="2"/>
  <c r="C163" i="2"/>
  <c r="I155" i="2"/>
  <c r="L155" i="2"/>
  <c r="H155" i="2"/>
  <c r="K155" i="2"/>
  <c r="M155" i="2"/>
  <c r="J155" i="2"/>
  <c r="N155" i="2"/>
  <c r="E155" i="2"/>
  <c r="F155" i="2"/>
  <c r="G155" i="2"/>
  <c r="D155" i="2"/>
  <c r="C155" i="2"/>
  <c r="G147" i="2"/>
  <c r="J147" i="2"/>
  <c r="N147" i="2"/>
  <c r="F147" i="2"/>
  <c r="H147" i="2"/>
  <c r="L147" i="2"/>
  <c r="M147" i="2"/>
  <c r="E147" i="2"/>
  <c r="I147" i="2"/>
  <c r="K147" i="2"/>
  <c r="D147" i="2"/>
  <c r="C147" i="2"/>
  <c r="G139" i="2"/>
  <c r="I139" i="2"/>
  <c r="J139" i="2"/>
  <c r="E139" i="2"/>
  <c r="H139" i="2"/>
  <c r="K139" i="2"/>
  <c r="F139" i="2"/>
  <c r="L139" i="2"/>
  <c r="M139" i="2"/>
  <c r="N139" i="2"/>
  <c r="D139" i="2"/>
  <c r="C139" i="2"/>
  <c r="E131" i="2"/>
  <c r="M131" i="2"/>
  <c r="G131" i="2"/>
  <c r="H131" i="2"/>
  <c r="F131" i="2"/>
  <c r="I131" i="2"/>
  <c r="J131" i="2"/>
  <c r="K131" i="2"/>
  <c r="L131" i="2"/>
  <c r="N131" i="2"/>
  <c r="D131" i="2"/>
  <c r="C131" i="2"/>
  <c r="I123" i="2"/>
  <c r="K123" i="2"/>
  <c r="E123" i="2"/>
  <c r="M123" i="2"/>
  <c r="H123" i="2"/>
  <c r="L123" i="2"/>
  <c r="N123" i="2"/>
  <c r="F123" i="2"/>
  <c r="G123" i="2"/>
  <c r="J123" i="2"/>
  <c r="D123" i="2"/>
  <c r="C123" i="2"/>
  <c r="D3" i="2"/>
  <c r="C272" i="2"/>
  <c r="D184" i="2"/>
  <c r="F291" i="2"/>
  <c r="N279" i="2"/>
  <c r="E266" i="2"/>
  <c r="M266" i="2"/>
  <c r="G266" i="2"/>
  <c r="I266" i="2"/>
  <c r="D266" i="2"/>
  <c r="F266" i="2"/>
  <c r="H266" i="2"/>
  <c r="J266" i="2"/>
  <c r="K266" i="2"/>
  <c r="L266" i="2"/>
  <c r="N266" i="2"/>
  <c r="L258" i="2"/>
  <c r="F258" i="2"/>
  <c r="G258" i="2"/>
  <c r="N258" i="2"/>
  <c r="E258" i="2"/>
  <c r="I258" i="2"/>
  <c r="M258" i="2"/>
  <c r="D258" i="2"/>
  <c r="H258" i="2"/>
  <c r="J258" i="2"/>
  <c r="L250" i="2"/>
  <c r="F250" i="2"/>
  <c r="N250" i="2"/>
  <c r="G250" i="2"/>
  <c r="E250" i="2"/>
  <c r="I250" i="2"/>
  <c r="K250" i="2"/>
  <c r="M250" i="2"/>
  <c r="D250" i="2"/>
  <c r="H250" i="2"/>
  <c r="L242" i="2"/>
  <c r="F242" i="2"/>
  <c r="N242" i="2"/>
  <c r="G242" i="2"/>
  <c r="E242" i="2"/>
  <c r="I242" i="2"/>
  <c r="K242" i="2"/>
  <c r="M242" i="2"/>
  <c r="D242" i="2"/>
  <c r="H242" i="2"/>
  <c r="J242" i="2"/>
  <c r="L234" i="2"/>
  <c r="F234" i="2"/>
  <c r="N234" i="2"/>
  <c r="G234" i="2"/>
  <c r="I234" i="2"/>
  <c r="K234" i="2"/>
  <c r="E234" i="2"/>
  <c r="M234" i="2"/>
  <c r="D234" i="2"/>
  <c r="H234" i="2"/>
  <c r="L226" i="2"/>
  <c r="F226" i="2"/>
  <c r="N226" i="2"/>
  <c r="G226" i="2"/>
  <c r="K226" i="2"/>
  <c r="E226" i="2"/>
  <c r="H226" i="2"/>
  <c r="I226" i="2"/>
  <c r="D226" i="2"/>
  <c r="J226" i="2"/>
  <c r="M226" i="2"/>
  <c r="L218" i="2"/>
  <c r="F218" i="2"/>
  <c r="N218" i="2"/>
  <c r="G218" i="2"/>
  <c r="E218" i="2"/>
  <c r="I218" i="2"/>
  <c r="J218" i="2"/>
  <c r="K218" i="2"/>
  <c r="D218" i="2"/>
  <c r="H218" i="2"/>
  <c r="M218" i="2"/>
  <c r="I210" i="2"/>
  <c r="L210" i="2"/>
  <c r="E210" i="2"/>
  <c r="M210" i="2"/>
  <c r="F210" i="2"/>
  <c r="N210" i="2"/>
  <c r="G210" i="2"/>
  <c r="J210" i="2"/>
  <c r="D210" i="2"/>
  <c r="H210" i="2"/>
  <c r="K210" i="2"/>
  <c r="J202" i="2"/>
  <c r="K202" i="2"/>
  <c r="L202" i="2"/>
  <c r="E202" i="2"/>
  <c r="M202" i="2"/>
  <c r="F202" i="2"/>
  <c r="N202" i="2"/>
  <c r="G202" i="2"/>
  <c r="H202" i="2"/>
  <c r="I202" i="2"/>
  <c r="D202" i="2"/>
  <c r="J194" i="2"/>
  <c r="K194" i="2"/>
  <c r="L194" i="2"/>
  <c r="E194" i="2"/>
  <c r="M194" i="2"/>
  <c r="F194" i="2"/>
  <c r="N194" i="2"/>
  <c r="G194" i="2"/>
  <c r="H194" i="2"/>
  <c r="I194" i="2"/>
  <c r="D194" i="2"/>
  <c r="J186" i="2"/>
  <c r="K186" i="2"/>
  <c r="L186" i="2"/>
  <c r="E186" i="2"/>
  <c r="M186" i="2"/>
  <c r="F186" i="2"/>
  <c r="N186" i="2"/>
  <c r="G186" i="2"/>
  <c r="H186" i="2"/>
  <c r="I186" i="2"/>
  <c r="D186" i="2"/>
  <c r="K178" i="2"/>
  <c r="F178" i="2"/>
  <c r="N178" i="2"/>
  <c r="G178" i="2"/>
  <c r="H178" i="2"/>
  <c r="I178" i="2"/>
  <c r="J178" i="2"/>
  <c r="L178" i="2"/>
  <c r="M178" i="2"/>
  <c r="E178" i="2"/>
  <c r="D178" i="2"/>
  <c r="K170" i="2"/>
  <c r="F170" i="2"/>
  <c r="N170" i="2"/>
  <c r="L170" i="2"/>
  <c r="M170" i="2"/>
  <c r="E170" i="2"/>
  <c r="G170" i="2"/>
  <c r="H170" i="2"/>
  <c r="I170" i="2"/>
  <c r="J170" i="2"/>
  <c r="D170" i="2"/>
  <c r="J162" i="2"/>
  <c r="L162" i="2"/>
  <c r="E162" i="2"/>
  <c r="M162" i="2"/>
  <c r="K162" i="2"/>
  <c r="N162" i="2"/>
  <c r="F162" i="2"/>
  <c r="G162" i="2"/>
  <c r="H162" i="2"/>
  <c r="I162" i="2"/>
  <c r="D162" i="2"/>
  <c r="C162" i="2"/>
  <c r="K154" i="2"/>
  <c r="F154" i="2"/>
  <c r="N154" i="2"/>
  <c r="H154" i="2"/>
  <c r="J154" i="2"/>
  <c r="L154" i="2"/>
  <c r="E154" i="2"/>
  <c r="G154" i="2"/>
  <c r="I154" i="2"/>
  <c r="M154" i="2"/>
  <c r="D154" i="2"/>
  <c r="C154" i="2"/>
  <c r="I146" i="2"/>
  <c r="L146" i="2"/>
  <c r="N146" i="2"/>
  <c r="F146" i="2"/>
  <c r="G146" i="2"/>
  <c r="E146" i="2"/>
  <c r="H146" i="2"/>
  <c r="J146" i="2"/>
  <c r="K146" i="2"/>
  <c r="M146" i="2"/>
  <c r="D146" i="2"/>
  <c r="C146" i="2"/>
  <c r="I138" i="2"/>
  <c r="K138" i="2"/>
  <c r="L138" i="2"/>
  <c r="F138" i="2"/>
  <c r="G138" i="2"/>
  <c r="M138" i="2"/>
  <c r="N138" i="2"/>
  <c r="E138" i="2"/>
  <c r="H138" i="2"/>
  <c r="J138" i="2"/>
  <c r="D138" i="2"/>
  <c r="C138" i="2"/>
  <c r="G130" i="2"/>
  <c r="F130" i="2"/>
  <c r="I130" i="2"/>
  <c r="J130" i="2"/>
  <c r="M130" i="2"/>
  <c r="L130" i="2"/>
  <c r="N130" i="2"/>
  <c r="E130" i="2"/>
  <c r="H130" i="2"/>
  <c r="K130" i="2"/>
  <c r="D130" i="2"/>
  <c r="C130" i="2"/>
  <c r="K122" i="2"/>
  <c r="E122" i="2"/>
  <c r="M122" i="2"/>
  <c r="G122" i="2"/>
  <c r="F122" i="2"/>
  <c r="I122" i="2"/>
  <c r="J122" i="2"/>
  <c r="H122" i="2"/>
  <c r="L122" i="2"/>
  <c r="N122" i="2"/>
  <c r="D122" i="2"/>
  <c r="C122" i="2"/>
  <c r="K114" i="2"/>
  <c r="E114" i="2"/>
  <c r="M114" i="2"/>
  <c r="G114" i="2"/>
  <c r="I114" i="2"/>
  <c r="L114" i="2"/>
  <c r="N114" i="2"/>
  <c r="F114" i="2"/>
  <c r="H114" i="2"/>
  <c r="J114" i="2"/>
  <c r="D114" i="2"/>
  <c r="C114" i="2"/>
  <c r="I106" i="2"/>
  <c r="K106" i="2"/>
  <c r="E106" i="2"/>
  <c r="M106" i="2"/>
  <c r="F106" i="2"/>
  <c r="G106" i="2"/>
  <c r="H106" i="2"/>
  <c r="J106" i="2"/>
  <c r="N106" i="2"/>
  <c r="L106" i="2"/>
  <c r="D106" i="2"/>
  <c r="C106" i="2"/>
  <c r="G98" i="2"/>
  <c r="I98" i="2"/>
  <c r="K98" i="2"/>
  <c r="H98" i="2"/>
  <c r="L98" i="2"/>
  <c r="M98" i="2"/>
  <c r="N98" i="2"/>
  <c r="E98" i="2"/>
  <c r="F98" i="2"/>
  <c r="J98" i="2"/>
  <c r="G90" i="2"/>
  <c r="I90" i="2"/>
  <c r="K90" i="2"/>
  <c r="L90" i="2"/>
  <c r="N90" i="2"/>
  <c r="J90" i="2"/>
  <c r="M90" i="2"/>
  <c r="E90" i="2"/>
  <c r="F90" i="2"/>
  <c r="H90" i="2"/>
  <c r="G82" i="2"/>
  <c r="I82" i="2"/>
  <c r="K82" i="2"/>
  <c r="N82" i="2"/>
  <c r="E82" i="2"/>
  <c r="F82" i="2"/>
  <c r="H82" i="2"/>
  <c r="J82" i="2"/>
  <c r="L82" i="2"/>
  <c r="M82" i="2"/>
  <c r="G74" i="2"/>
  <c r="I74" i="2"/>
  <c r="K74" i="2"/>
  <c r="N74" i="2"/>
  <c r="E74" i="2"/>
  <c r="H74" i="2"/>
  <c r="J74" i="2"/>
  <c r="L74" i="2"/>
  <c r="M74" i="2"/>
  <c r="F74" i="2"/>
  <c r="D74" i="2"/>
  <c r="H66" i="2"/>
  <c r="J66" i="2"/>
  <c r="K66" i="2"/>
  <c r="L66" i="2"/>
  <c r="M66" i="2"/>
  <c r="E66" i="2"/>
  <c r="I66" i="2"/>
  <c r="N66" i="2"/>
  <c r="F66" i="2"/>
  <c r="G66" i="2"/>
  <c r="D66" i="2"/>
  <c r="F58" i="2"/>
  <c r="N58" i="2"/>
  <c r="G58" i="2"/>
  <c r="H58" i="2"/>
  <c r="I58" i="2"/>
  <c r="J58" i="2"/>
  <c r="K58" i="2"/>
  <c r="L58" i="2"/>
  <c r="M58" i="2"/>
  <c r="E58" i="2"/>
  <c r="D58" i="2"/>
  <c r="F50" i="2"/>
  <c r="N50" i="2"/>
  <c r="G50" i="2"/>
  <c r="H50" i="2"/>
  <c r="I50" i="2"/>
  <c r="J50" i="2"/>
  <c r="K50" i="2"/>
  <c r="L50" i="2"/>
  <c r="M50" i="2"/>
  <c r="E50" i="2"/>
  <c r="D50" i="2"/>
  <c r="F42" i="2"/>
  <c r="N42" i="2"/>
  <c r="G42" i="2"/>
  <c r="H42" i="2"/>
  <c r="I42" i="2"/>
  <c r="J42" i="2"/>
  <c r="K42" i="2"/>
  <c r="L42" i="2"/>
  <c r="E42" i="2"/>
  <c r="M42" i="2"/>
  <c r="D42" i="2"/>
  <c r="E34" i="2"/>
  <c r="M34" i="2"/>
  <c r="F34" i="2"/>
  <c r="N34" i="2"/>
  <c r="G34" i="2"/>
  <c r="H34" i="2"/>
  <c r="I34" i="2"/>
  <c r="J34" i="2"/>
  <c r="K34" i="2"/>
  <c r="L34" i="2"/>
  <c r="D34" i="2"/>
  <c r="C34" i="2"/>
  <c r="E26" i="2"/>
  <c r="M26" i="2"/>
  <c r="F26" i="2"/>
  <c r="N26" i="2"/>
  <c r="G26" i="2"/>
  <c r="H26" i="2"/>
  <c r="I26" i="2"/>
  <c r="J26" i="2"/>
  <c r="K26" i="2"/>
  <c r="L26" i="2"/>
  <c r="D26" i="2"/>
  <c r="C26" i="2"/>
  <c r="E18" i="2"/>
  <c r="M18" i="2"/>
  <c r="F18" i="2"/>
  <c r="N18" i="2"/>
  <c r="G18" i="2"/>
  <c r="H18" i="2"/>
  <c r="I18" i="2"/>
  <c r="J18" i="2"/>
  <c r="K18" i="2"/>
  <c r="L18" i="2"/>
  <c r="D18" i="2"/>
  <c r="C18" i="2"/>
  <c r="E10" i="2"/>
  <c r="M10" i="2"/>
  <c r="F10" i="2"/>
  <c r="N10" i="2"/>
  <c r="G10" i="2"/>
  <c r="H10" i="2"/>
  <c r="I10" i="2"/>
  <c r="J10" i="2"/>
  <c r="K10" i="2"/>
  <c r="L10" i="2"/>
  <c r="D10" i="2"/>
  <c r="C10" i="2"/>
  <c r="C291" i="2"/>
  <c r="C248" i="2"/>
  <c r="C226" i="2"/>
  <c r="C159" i="2"/>
  <c r="D176" i="2"/>
  <c r="N289" i="2"/>
  <c r="K278" i="2"/>
  <c r="L256" i="2"/>
  <c r="E238" i="2"/>
  <c r="I198" i="2"/>
  <c r="I285" i="2"/>
  <c r="K285" i="2"/>
  <c r="E285" i="2"/>
  <c r="M285" i="2"/>
  <c r="G277" i="2"/>
  <c r="I277" i="2"/>
  <c r="K277" i="2"/>
  <c r="G269" i="2"/>
  <c r="I269" i="2"/>
  <c r="K269" i="2"/>
  <c r="F261" i="2"/>
  <c r="I261" i="2"/>
  <c r="E261" i="2"/>
  <c r="H261" i="2"/>
  <c r="K261" i="2"/>
  <c r="F253" i="2"/>
  <c r="N253" i="2"/>
  <c r="H253" i="2"/>
  <c r="I253" i="2"/>
  <c r="M253" i="2"/>
  <c r="G253" i="2"/>
  <c r="F245" i="2"/>
  <c r="N245" i="2"/>
  <c r="H245" i="2"/>
  <c r="I245" i="2"/>
  <c r="G245" i="2"/>
  <c r="K245" i="2"/>
  <c r="F237" i="2"/>
  <c r="N237" i="2"/>
  <c r="H237" i="2"/>
  <c r="I237" i="2"/>
  <c r="G237" i="2"/>
  <c r="K237" i="2"/>
  <c r="L237" i="2"/>
  <c r="M237" i="2"/>
  <c r="F229" i="2"/>
  <c r="N229" i="2"/>
  <c r="H229" i="2"/>
  <c r="I229" i="2"/>
  <c r="G229" i="2"/>
  <c r="K229" i="2"/>
  <c r="M229" i="2"/>
  <c r="F221" i="2"/>
  <c r="N221" i="2"/>
  <c r="H221" i="2"/>
  <c r="I221" i="2"/>
  <c r="K221" i="2"/>
  <c r="M221" i="2"/>
  <c r="E221" i="2"/>
  <c r="G221" i="2"/>
  <c r="K213" i="2"/>
  <c r="F213" i="2"/>
  <c r="N213" i="2"/>
  <c r="G213" i="2"/>
  <c r="H213" i="2"/>
  <c r="I213" i="2"/>
  <c r="E213" i="2"/>
  <c r="L213" i="2"/>
  <c r="M213" i="2"/>
  <c r="K205" i="2"/>
  <c r="L205" i="2"/>
  <c r="E205" i="2"/>
  <c r="M205" i="2"/>
  <c r="F205" i="2"/>
  <c r="N205" i="2"/>
  <c r="G205" i="2"/>
  <c r="H205" i="2"/>
  <c r="I205" i="2"/>
  <c r="L197" i="2"/>
  <c r="E197" i="2"/>
  <c r="M197" i="2"/>
  <c r="F197" i="2"/>
  <c r="N197" i="2"/>
  <c r="G197" i="2"/>
  <c r="H197" i="2"/>
  <c r="I197" i="2"/>
  <c r="J197" i="2"/>
  <c r="K197" i="2"/>
  <c r="L189" i="2"/>
  <c r="E189" i="2"/>
  <c r="M189" i="2"/>
  <c r="F189" i="2"/>
  <c r="N189" i="2"/>
  <c r="G189" i="2"/>
  <c r="H189" i="2"/>
  <c r="I189" i="2"/>
  <c r="J189" i="2"/>
  <c r="K189" i="2"/>
  <c r="E181" i="2"/>
  <c r="M181" i="2"/>
  <c r="H181" i="2"/>
  <c r="I181" i="2"/>
  <c r="J181" i="2"/>
  <c r="K181" i="2"/>
  <c r="L181" i="2"/>
  <c r="N181" i="2"/>
  <c r="F181" i="2"/>
  <c r="G181" i="2"/>
  <c r="E173" i="2"/>
  <c r="M173" i="2"/>
  <c r="H173" i="2"/>
  <c r="N173" i="2"/>
  <c r="F173" i="2"/>
  <c r="G173" i="2"/>
  <c r="I173" i="2"/>
  <c r="J173" i="2"/>
  <c r="K173" i="2"/>
  <c r="L173" i="2"/>
  <c r="L165" i="2"/>
  <c r="F165" i="2"/>
  <c r="N165" i="2"/>
  <c r="G165" i="2"/>
  <c r="H165" i="2"/>
  <c r="I165" i="2"/>
  <c r="J165" i="2"/>
  <c r="K165" i="2"/>
  <c r="M165" i="2"/>
  <c r="E165" i="2"/>
  <c r="E157" i="2"/>
  <c r="M157" i="2"/>
  <c r="H157" i="2"/>
  <c r="J157" i="2"/>
  <c r="L157" i="2"/>
  <c r="N157" i="2"/>
  <c r="G157" i="2"/>
  <c r="I157" i="2"/>
  <c r="K157" i="2"/>
  <c r="K149" i="2"/>
  <c r="F149" i="2"/>
  <c r="N149" i="2"/>
  <c r="E149" i="2"/>
  <c r="H149" i="2"/>
  <c r="I149" i="2"/>
  <c r="J149" i="2"/>
  <c r="L149" i="2"/>
  <c r="M149" i="2"/>
  <c r="G149" i="2"/>
  <c r="K141" i="2"/>
  <c r="E141" i="2"/>
  <c r="F141" i="2"/>
  <c r="N141" i="2"/>
  <c r="J141" i="2"/>
  <c r="M141" i="2"/>
  <c r="G141" i="2"/>
  <c r="H141" i="2"/>
  <c r="I141" i="2"/>
  <c r="L141" i="2"/>
  <c r="L133" i="2"/>
  <c r="K133" i="2"/>
  <c r="E125" i="2"/>
  <c r="M125" i="2"/>
  <c r="G125" i="2"/>
  <c r="I125" i="2"/>
  <c r="N125" i="2"/>
  <c r="F125" i="2"/>
  <c r="L125" i="2"/>
  <c r="J125" i="2"/>
  <c r="K125" i="2"/>
  <c r="H125" i="2"/>
  <c r="E117" i="2"/>
  <c r="M117" i="2"/>
  <c r="G117" i="2"/>
  <c r="I117" i="2"/>
  <c r="H117" i="2"/>
  <c r="J117" i="2"/>
  <c r="L117" i="2"/>
  <c r="F117" i="2"/>
  <c r="K117" i="2"/>
  <c r="N117" i="2"/>
  <c r="K109" i="2"/>
  <c r="E109" i="2"/>
  <c r="M109" i="2"/>
  <c r="G109" i="2"/>
  <c r="J109" i="2"/>
  <c r="N109" i="2"/>
  <c r="F109" i="2"/>
  <c r="H109" i="2"/>
  <c r="I109" i="2"/>
  <c r="L109" i="2"/>
  <c r="K101" i="2"/>
  <c r="E101" i="2"/>
  <c r="M101" i="2"/>
  <c r="G101" i="2"/>
  <c r="N101" i="2"/>
  <c r="F101" i="2"/>
  <c r="L101" i="2"/>
  <c r="H101" i="2"/>
  <c r="I101" i="2"/>
  <c r="J101" i="2"/>
  <c r="I93" i="2"/>
  <c r="K93" i="2"/>
  <c r="E93" i="2"/>
  <c r="M93" i="2"/>
  <c r="G93" i="2"/>
  <c r="J93" i="2"/>
  <c r="L93" i="2"/>
  <c r="F93" i="2"/>
  <c r="H93" i="2"/>
  <c r="N93" i="2"/>
  <c r="I85" i="2"/>
  <c r="K85" i="2"/>
  <c r="E85" i="2"/>
  <c r="M85" i="2"/>
  <c r="J85" i="2"/>
  <c r="N85" i="2"/>
  <c r="F85" i="2"/>
  <c r="G85" i="2"/>
  <c r="H85" i="2"/>
  <c r="L85" i="2"/>
  <c r="I77" i="2"/>
  <c r="K77" i="2"/>
  <c r="E77" i="2"/>
  <c r="M77" i="2"/>
  <c r="J77" i="2"/>
  <c r="L77" i="2"/>
  <c r="N77" i="2"/>
  <c r="F77" i="2"/>
  <c r="G77" i="2"/>
  <c r="H77" i="2"/>
  <c r="L69" i="2"/>
  <c r="E69" i="2"/>
  <c r="M69" i="2"/>
  <c r="F69" i="2"/>
  <c r="N69" i="2"/>
  <c r="H69" i="2"/>
  <c r="J69" i="2"/>
  <c r="G69" i="2"/>
  <c r="K69" i="2"/>
  <c r="I69" i="2"/>
  <c r="H61" i="2"/>
  <c r="I61" i="2"/>
  <c r="J61" i="2"/>
  <c r="K61" i="2"/>
  <c r="L61" i="2"/>
  <c r="E61" i="2"/>
  <c r="M61" i="2"/>
  <c r="F61" i="2"/>
  <c r="N61" i="2"/>
  <c r="G61" i="2"/>
  <c r="H53" i="2"/>
  <c r="I53" i="2"/>
  <c r="J53" i="2"/>
  <c r="K53" i="2"/>
  <c r="L53" i="2"/>
  <c r="E53" i="2"/>
  <c r="M53" i="2"/>
  <c r="F53" i="2"/>
  <c r="N53" i="2"/>
  <c r="G53" i="2"/>
  <c r="H45" i="2"/>
  <c r="I45" i="2"/>
  <c r="J45" i="2"/>
  <c r="K45" i="2"/>
  <c r="L45" i="2"/>
  <c r="E45" i="2"/>
  <c r="M45" i="2"/>
  <c r="F45" i="2"/>
  <c r="N45" i="2"/>
  <c r="G45" i="2"/>
  <c r="H37" i="2"/>
  <c r="I37" i="2"/>
  <c r="J37" i="2"/>
  <c r="K37" i="2"/>
  <c r="L37" i="2"/>
  <c r="E37" i="2"/>
  <c r="M37" i="2"/>
  <c r="F37" i="2"/>
  <c r="N37" i="2"/>
  <c r="G37" i="2"/>
  <c r="G29" i="2"/>
  <c r="H29" i="2"/>
  <c r="I29" i="2"/>
  <c r="J29" i="2"/>
  <c r="K29" i="2"/>
  <c r="L29" i="2"/>
  <c r="E29" i="2"/>
  <c r="M29" i="2"/>
  <c r="F29" i="2"/>
  <c r="N29" i="2"/>
  <c r="G21" i="2"/>
  <c r="H21" i="2"/>
  <c r="I21" i="2"/>
  <c r="J21" i="2"/>
  <c r="K21" i="2"/>
  <c r="L21" i="2"/>
  <c r="E21" i="2"/>
  <c r="M21" i="2"/>
  <c r="F21" i="2"/>
  <c r="N21" i="2"/>
  <c r="G13" i="2"/>
  <c r="H13" i="2"/>
  <c r="I13" i="2"/>
  <c r="J13" i="2"/>
  <c r="K13" i="2"/>
  <c r="L13" i="2"/>
  <c r="E13" i="2"/>
  <c r="M13" i="2"/>
  <c r="F13" i="2"/>
  <c r="N13" i="2"/>
  <c r="G5" i="2"/>
  <c r="H5" i="2"/>
  <c r="I5" i="2"/>
  <c r="J5" i="2"/>
  <c r="K5" i="2"/>
  <c r="L5" i="2"/>
  <c r="E5" i="2"/>
  <c r="M5" i="2"/>
  <c r="F5" i="2"/>
  <c r="N5" i="2"/>
  <c r="C149" i="2"/>
  <c r="C141" i="2"/>
  <c r="C115" i="2"/>
  <c r="C97" i="2"/>
  <c r="C89" i="2"/>
  <c r="C81" i="2"/>
  <c r="C57" i="2"/>
  <c r="C49" i="2"/>
  <c r="D149" i="2"/>
  <c r="D141" i="2"/>
  <c r="D71" i="2"/>
  <c r="D39" i="2"/>
  <c r="D7" i="2"/>
  <c r="N285" i="2"/>
  <c r="F277" i="2"/>
  <c r="H273" i="2"/>
  <c r="J269" i="2"/>
  <c r="L265" i="2"/>
  <c r="M261" i="2"/>
  <c r="J237" i="2"/>
  <c r="F196" i="2"/>
  <c r="N196" i="2"/>
  <c r="G196" i="2"/>
  <c r="H196" i="2"/>
  <c r="I196" i="2"/>
  <c r="J196" i="2"/>
  <c r="K196" i="2"/>
  <c r="L196" i="2"/>
  <c r="E196" i="2"/>
  <c r="M196" i="2"/>
  <c r="F188" i="2"/>
  <c r="N188" i="2"/>
  <c r="G188" i="2"/>
  <c r="H188" i="2"/>
  <c r="I188" i="2"/>
  <c r="J188" i="2"/>
  <c r="K188" i="2"/>
  <c r="L188" i="2"/>
  <c r="E188" i="2"/>
  <c r="M188" i="2"/>
  <c r="G180" i="2"/>
  <c r="J180" i="2"/>
  <c r="H180" i="2"/>
  <c r="I180" i="2"/>
  <c r="K180" i="2"/>
  <c r="L180" i="2"/>
  <c r="M180" i="2"/>
  <c r="N180" i="2"/>
  <c r="E180" i="2"/>
  <c r="F180" i="2"/>
  <c r="G172" i="2"/>
  <c r="J172" i="2"/>
  <c r="M172" i="2"/>
  <c r="N172" i="2"/>
  <c r="E172" i="2"/>
  <c r="F172" i="2"/>
  <c r="H172" i="2"/>
  <c r="I172" i="2"/>
  <c r="K172" i="2"/>
  <c r="L172" i="2"/>
  <c r="F164" i="2"/>
  <c r="N164" i="2"/>
  <c r="H164" i="2"/>
  <c r="I164" i="2"/>
  <c r="E164" i="2"/>
  <c r="G164" i="2"/>
  <c r="J164" i="2"/>
  <c r="K164" i="2"/>
  <c r="L164" i="2"/>
  <c r="M164" i="2"/>
  <c r="G156" i="2"/>
  <c r="J156" i="2"/>
  <c r="I156" i="2"/>
  <c r="L156" i="2"/>
  <c r="M156" i="2"/>
  <c r="E156" i="2"/>
  <c r="F156" i="2"/>
  <c r="H156" i="2"/>
  <c r="K156" i="2"/>
  <c r="N156" i="2"/>
  <c r="E148" i="2"/>
  <c r="M148" i="2"/>
  <c r="H148" i="2"/>
  <c r="G148" i="2"/>
  <c r="I148" i="2"/>
  <c r="F148" i="2"/>
  <c r="J148" i="2"/>
  <c r="K148" i="2"/>
  <c r="L148" i="2"/>
  <c r="N148" i="2"/>
  <c r="E140" i="2"/>
  <c r="M140" i="2"/>
  <c r="G140" i="2"/>
  <c r="H140" i="2"/>
  <c r="I140" i="2"/>
  <c r="K140" i="2"/>
  <c r="L140" i="2"/>
  <c r="N140" i="2"/>
  <c r="F140" i="2"/>
  <c r="J140" i="2"/>
  <c r="K132" i="2"/>
  <c r="E132" i="2"/>
  <c r="M132" i="2"/>
  <c r="F132" i="2"/>
  <c r="N132" i="2"/>
  <c r="G132" i="2"/>
  <c r="I132" i="2"/>
  <c r="J132" i="2"/>
  <c r="H132" i="2"/>
  <c r="L132" i="2"/>
  <c r="G124" i="2"/>
  <c r="I124" i="2"/>
  <c r="K124" i="2"/>
  <c r="L124" i="2"/>
  <c r="N124" i="2"/>
  <c r="E124" i="2"/>
  <c r="H124" i="2"/>
  <c r="J124" i="2"/>
  <c r="F124" i="2"/>
  <c r="M124" i="2"/>
  <c r="G116" i="2"/>
  <c r="I116" i="2"/>
  <c r="K116" i="2"/>
  <c r="N116" i="2"/>
  <c r="E116" i="2"/>
  <c r="F116" i="2"/>
  <c r="H116" i="2"/>
  <c r="J116" i="2"/>
  <c r="L116" i="2"/>
  <c r="M116" i="2"/>
  <c r="E108" i="2"/>
  <c r="M108" i="2"/>
  <c r="G108" i="2"/>
  <c r="I108" i="2"/>
  <c r="H108" i="2"/>
  <c r="K108" i="2"/>
  <c r="L108" i="2"/>
  <c r="J108" i="2"/>
  <c r="F108" i="2"/>
  <c r="N108" i="2"/>
  <c r="K92" i="2"/>
  <c r="E92" i="2"/>
  <c r="M92" i="2"/>
  <c r="G92" i="2"/>
  <c r="H92" i="2"/>
  <c r="I92" i="2"/>
  <c r="L92" i="2"/>
  <c r="N92" i="2"/>
  <c r="F92" i="2"/>
  <c r="J92" i="2"/>
  <c r="K84" i="2"/>
  <c r="E84" i="2"/>
  <c r="M84" i="2"/>
  <c r="G84" i="2"/>
  <c r="H84" i="2"/>
  <c r="J84" i="2"/>
  <c r="L84" i="2"/>
  <c r="F84" i="2"/>
  <c r="I84" i="2"/>
  <c r="N84" i="2"/>
  <c r="K76" i="2"/>
  <c r="E76" i="2"/>
  <c r="M76" i="2"/>
  <c r="G76" i="2"/>
  <c r="H76" i="2"/>
  <c r="I76" i="2"/>
  <c r="J76" i="2"/>
  <c r="N76" i="2"/>
  <c r="F76" i="2"/>
  <c r="L76" i="2"/>
  <c r="F68" i="2"/>
  <c r="N68" i="2"/>
  <c r="G68" i="2"/>
  <c r="H68" i="2"/>
  <c r="I68" i="2"/>
  <c r="K68" i="2"/>
  <c r="L68" i="2"/>
  <c r="M68" i="2"/>
  <c r="E68" i="2"/>
  <c r="J68" i="2"/>
  <c r="J60" i="2"/>
  <c r="K60" i="2"/>
  <c r="L60" i="2"/>
  <c r="E60" i="2"/>
  <c r="M60" i="2"/>
  <c r="F60" i="2"/>
  <c r="N60" i="2"/>
  <c r="G60" i="2"/>
  <c r="H60" i="2"/>
  <c r="I60" i="2"/>
  <c r="J52" i="2"/>
  <c r="K52" i="2"/>
  <c r="L52" i="2"/>
  <c r="E52" i="2"/>
  <c r="M52" i="2"/>
  <c r="F52" i="2"/>
  <c r="N52" i="2"/>
  <c r="G52" i="2"/>
  <c r="H52" i="2"/>
  <c r="I52" i="2"/>
  <c r="J44" i="2"/>
  <c r="K44" i="2"/>
  <c r="L44" i="2"/>
  <c r="E44" i="2"/>
  <c r="M44" i="2"/>
  <c r="F44" i="2"/>
  <c r="N44" i="2"/>
  <c r="G44" i="2"/>
  <c r="H44" i="2"/>
  <c r="I44" i="2"/>
  <c r="E36" i="2"/>
  <c r="K36" i="2"/>
  <c r="I28" i="2"/>
  <c r="J28" i="2"/>
  <c r="K28" i="2"/>
  <c r="L28" i="2"/>
  <c r="E28" i="2"/>
  <c r="M28" i="2"/>
  <c r="F28" i="2"/>
  <c r="N28" i="2"/>
  <c r="G28" i="2"/>
  <c r="H28" i="2"/>
  <c r="I20" i="2"/>
  <c r="J20" i="2"/>
  <c r="K20" i="2"/>
  <c r="L20" i="2"/>
  <c r="E20" i="2"/>
  <c r="M20" i="2"/>
  <c r="F20" i="2"/>
  <c r="N20" i="2"/>
  <c r="G20" i="2"/>
  <c r="H20" i="2"/>
  <c r="I12" i="2"/>
  <c r="J12" i="2"/>
  <c r="K12" i="2"/>
  <c r="L12" i="2"/>
  <c r="E12" i="2"/>
  <c r="M12" i="2"/>
  <c r="F12" i="2"/>
  <c r="N12" i="2"/>
  <c r="G12" i="2"/>
  <c r="H12" i="2"/>
  <c r="I4" i="2"/>
  <c r="J4" i="2"/>
  <c r="K4" i="2"/>
  <c r="L4" i="2"/>
  <c r="E4" i="2"/>
  <c r="M4" i="2"/>
  <c r="F4" i="2"/>
  <c r="N4" i="2"/>
  <c r="G4" i="2"/>
  <c r="H4" i="2"/>
  <c r="C165" i="2"/>
  <c r="C157" i="2"/>
  <c r="C148" i="2"/>
  <c r="C140" i="2"/>
  <c r="C105" i="2"/>
  <c r="C23" i="2"/>
  <c r="C15" i="2"/>
  <c r="D165" i="2"/>
  <c r="D157" i="2"/>
  <c r="D148" i="2"/>
  <c r="D140" i="2"/>
  <c r="D69" i="2"/>
  <c r="D37" i="2"/>
  <c r="D5" i="2"/>
  <c r="L285" i="2"/>
  <c r="E277" i="2"/>
  <c r="F273" i="2"/>
  <c r="H269" i="2"/>
  <c r="J265" i="2"/>
  <c r="L261" i="2"/>
  <c r="M249" i="2"/>
  <c r="M245" i="2"/>
  <c r="E237" i="2"/>
  <c r="K233" i="2"/>
  <c r="I115" i="2"/>
  <c r="K115" i="2"/>
  <c r="E115" i="2"/>
  <c r="M115" i="2"/>
  <c r="L115" i="2"/>
  <c r="J115" i="2"/>
  <c r="H115" i="2"/>
  <c r="N115" i="2"/>
  <c r="F115" i="2"/>
  <c r="G115" i="2"/>
  <c r="G107" i="2"/>
  <c r="I107" i="2"/>
  <c r="K107" i="2"/>
  <c r="E107" i="2"/>
  <c r="H107" i="2"/>
  <c r="J107" i="2"/>
  <c r="F107" i="2"/>
  <c r="N107" i="2"/>
  <c r="L107" i="2"/>
  <c r="M107" i="2"/>
  <c r="E99" i="2"/>
  <c r="M99" i="2"/>
  <c r="G99" i="2"/>
  <c r="I99" i="2"/>
  <c r="K99" i="2"/>
  <c r="N99" i="2"/>
  <c r="F99" i="2"/>
  <c r="H99" i="2"/>
  <c r="J99" i="2"/>
  <c r="L99" i="2"/>
  <c r="E91" i="2"/>
  <c r="M91" i="2"/>
  <c r="G91" i="2"/>
  <c r="I91" i="2"/>
  <c r="N91" i="2"/>
  <c r="F91" i="2"/>
  <c r="H91" i="2"/>
  <c r="J91" i="2"/>
  <c r="K91" i="2"/>
  <c r="L91" i="2"/>
  <c r="E83" i="2"/>
  <c r="M83" i="2"/>
  <c r="G83" i="2"/>
  <c r="I83" i="2"/>
  <c r="H83" i="2"/>
  <c r="J83" i="2"/>
  <c r="F83" i="2"/>
  <c r="K83" i="2"/>
  <c r="L83" i="2"/>
  <c r="N83" i="2"/>
  <c r="E75" i="2"/>
  <c r="M75" i="2"/>
  <c r="G75" i="2"/>
  <c r="I75" i="2"/>
  <c r="F75" i="2"/>
  <c r="H75" i="2"/>
  <c r="K75" i="2"/>
  <c r="L75" i="2"/>
  <c r="J75" i="2"/>
  <c r="N75" i="2"/>
  <c r="H67" i="2"/>
  <c r="I67" i="2"/>
  <c r="J67" i="2"/>
  <c r="N67" i="2"/>
  <c r="E67" i="2"/>
  <c r="G67" i="2"/>
  <c r="F67" i="2"/>
  <c r="L67" i="2"/>
  <c r="M67" i="2"/>
  <c r="K67" i="2"/>
  <c r="L59" i="2"/>
  <c r="E59" i="2"/>
  <c r="M59" i="2"/>
  <c r="F59" i="2"/>
  <c r="N59" i="2"/>
  <c r="G59" i="2"/>
  <c r="H59" i="2"/>
  <c r="I59" i="2"/>
  <c r="J59" i="2"/>
  <c r="K59" i="2"/>
  <c r="L51" i="2"/>
  <c r="E51" i="2"/>
  <c r="M51" i="2"/>
  <c r="F51" i="2"/>
  <c r="N51" i="2"/>
  <c r="G51" i="2"/>
  <c r="H51" i="2"/>
  <c r="I51" i="2"/>
  <c r="J51" i="2"/>
  <c r="K51" i="2"/>
  <c r="L43" i="2"/>
  <c r="E43" i="2"/>
  <c r="M43" i="2"/>
  <c r="F43" i="2"/>
  <c r="N43" i="2"/>
  <c r="G43" i="2"/>
  <c r="H43" i="2"/>
  <c r="I43" i="2"/>
  <c r="J43" i="2"/>
  <c r="K43" i="2"/>
  <c r="K35" i="2"/>
  <c r="L35" i="2"/>
  <c r="E35" i="2"/>
  <c r="M35" i="2"/>
  <c r="F35" i="2"/>
  <c r="N35" i="2"/>
  <c r="G35" i="2"/>
  <c r="H35" i="2"/>
  <c r="I35" i="2"/>
  <c r="J35" i="2"/>
  <c r="K27" i="2"/>
  <c r="L27" i="2"/>
  <c r="E27" i="2"/>
  <c r="M27" i="2"/>
  <c r="F27" i="2"/>
  <c r="N27" i="2"/>
  <c r="G27" i="2"/>
  <c r="H27" i="2"/>
  <c r="I27" i="2"/>
  <c r="J27" i="2"/>
  <c r="K19" i="2"/>
  <c r="L19" i="2"/>
  <c r="E19" i="2"/>
  <c r="M19" i="2"/>
  <c r="F19" i="2"/>
  <c r="N19" i="2"/>
  <c r="G19" i="2"/>
  <c r="H19" i="2"/>
  <c r="I19" i="2"/>
  <c r="J19" i="2"/>
  <c r="K11" i="2"/>
  <c r="L11" i="2"/>
  <c r="E11" i="2"/>
  <c r="M11" i="2"/>
  <c r="F11" i="2"/>
  <c r="N11" i="2"/>
  <c r="G11" i="2"/>
  <c r="H11" i="2"/>
  <c r="I11" i="2"/>
  <c r="J11" i="2"/>
  <c r="C277" i="2"/>
  <c r="C269" i="2"/>
  <c r="C261" i="2"/>
  <c r="C253" i="2"/>
  <c r="C245" i="2"/>
  <c r="C237" i="2"/>
  <c r="C229" i="2"/>
  <c r="C221" i="2"/>
  <c r="C213" i="2"/>
  <c r="C205" i="2"/>
  <c r="C197" i="2"/>
  <c r="C189" i="2"/>
  <c r="C181" i="2"/>
  <c r="C173" i="2"/>
  <c r="C164" i="2"/>
  <c r="C156" i="2"/>
  <c r="C129" i="2"/>
  <c r="C121" i="2"/>
  <c r="C95" i="2"/>
  <c r="C87" i="2"/>
  <c r="C79" i="2"/>
  <c r="C55" i="2"/>
  <c r="C47" i="2"/>
  <c r="D197" i="2"/>
  <c r="D189" i="2"/>
  <c r="D181" i="2"/>
  <c r="D173" i="2"/>
  <c r="D164" i="2"/>
  <c r="D156" i="2"/>
  <c r="D68" i="2"/>
  <c r="D36" i="2"/>
  <c r="D4" i="2"/>
  <c r="J285" i="2"/>
  <c r="F269" i="2"/>
  <c r="H265" i="2"/>
  <c r="J261" i="2"/>
  <c r="M257" i="2"/>
  <c r="L253" i="2"/>
  <c r="L249" i="2"/>
  <c r="L245" i="2"/>
  <c r="L229" i="2"/>
  <c r="C111" i="2"/>
  <c r="C103" i="2"/>
  <c r="D277" i="2"/>
  <c r="D269" i="2"/>
  <c r="D261" i="2"/>
  <c r="D253" i="2"/>
  <c r="D245" i="2"/>
  <c r="D237" i="2"/>
  <c r="D229" i="2"/>
  <c r="D221" i="2"/>
  <c r="D213" i="2"/>
  <c r="D205" i="2"/>
  <c r="D196" i="2"/>
  <c r="D188" i="2"/>
  <c r="D180" i="2"/>
  <c r="D172" i="2"/>
  <c r="D77" i="2"/>
  <c r="D67" i="2"/>
  <c r="D35" i="2"/>
  <c r="H285" i="2"/>
  <c r="N277" i="2"/>
  <c r="E269" i="2"/>
  <c r="G261" i="2"/>
  <c r="K253" i="2"/>
  <c r="J245" i="2"/>
  <c r="J229" i="2"/>
  <c r="G273" i="2"/>
  <c r="I273" i="2"/>
  <c r="K273" i="2"/>
  <c r="G265" i="2"/>
  <c r="I265" i="2"/>
  <c r="K265" i="2"/>
  <c r="F257" i="2"/>
  <c r="N257" i="2"/>
  <c r="H257" i="2"/>
  <c r="I257" i="2"/>
  <c r="L257" i="2"/>
  <c r="E257" i="2"/>
  <c r="F249" i="2"/>
  <c r="N249" i="2"/>
  <c r="H249" i="2"/>
  <c r="I249" i="2"/>
  <c r="E249" i="2"/>
  <c r="J249" i="2"/>
  <c r="F241" i="2"/>
  <c r="N241" i="2"/>
  <c r="H241" i="2"/>
  <c r="I241" i="2"/>
  <c r="E241" i="2"/>
  <c r="J241" i="2"/>
  <c r="K241" i="2"/>
  <c r="L241" i="2"/>
  <c r="F233" i="2"/>
  <c r="N233" i="2"/>
  <c r="H233" i="2"/>
  <c r="I233" i="2"/>
  <c r="E233" i="2"/>
  <c r="J233" i="2"/>
  <c r="L233" i="2"/>
  <c r="M233" i="2"/>
  <c r="F225" i="2"/>
  <c r="N225" i="2"/>
  <c r="H225" i="2"/>
  <c r="I225" i="2"/>
  <c r="J225" i="2"/>
  <c r="L225" i="2"/>
  <c r="E225" i="2"/>
  <c r="F217" i="2"/>
  <c r="N217" i="2"/>
  <c r="H217" i="2"/>
  <c r="I217" i="2"/>
  <c r="L217" i="2"/>
  <c r="E217" i="2"/>
  <c r="G217" i="2"/>
  <c r="J217" i="2"/>
  <c r="K209" i="2"/>
  <c r="E209" i="2"/>
  <c r="M209" i="2"/>
  <c r="F209" i="2"/>
  <c r="N209" i="2"/>
  <c r="G209" i="2"/>
  <c r="H209" i="2"/>
  <c r="I209" i="2"/>
  <c r="J209" i="2"/>
  <c r="L209" i="2"/>
  <c r="L201" i="2"/>
  <c r="E201" i="2"/>
  <c r="M201" i="2"/>
  <c r="F201" i="2"/>
  <c r="N201" i="2"/>
  <c r="G201" i="2"/>
  <c r="H201" i="2"/>
  <c r="I201" i="2"/>
  <c r="J201" i="2"/>
  <c r="K201" i="2"/>
  <c r="L193" i="2"/>
  <c r="E193" i="2"/>
  <c r="M193" i="2"/>
  <c r="F193" i="2"/>
  <c r="N193" i="2"/>
  <c r="G193" i="2"/>
  <c r="H193" i="2"/>
  <c r="I193" i="2"/>
  <c r="J193" i="2"/>
  <c r="K193" i="2"/>
  <c r="E185" i="2"/>
  <c r="M185" i="2"/>
  <c r="H185" i="2"/>
  <c r="K185" i="2"/>
  <c r="L185" i="2"/>
  <c r="N185" i="2"/>
  <c r="F185" i="2"/>
  <c r="G185" i="2"/>
  <c r="I185" i="2"/>
  <c r="E177" i="2"/>
  <c r="M177" i="2"/>
  <c r="H177" i="2"/>
  <c r="F177" i="2"/>
  <c r="G177" i="2"/>
  <c r="I177" i="2"/>
  <c r="J177" i="2"/>
  <c r="K177" i="2"/>
  <c r="L177" i="2"/>
  <c r="N177" i="2"/>
  <c r="E169" i="2"/>
  <c r="M169" i="2"/>
  <c r="H169" i="2"/>
  <c r="K169" i="2"/>
  <c r="L169" i="2"/>
  <c r="N169" i="2"/>
  <c r="F169" i="2"/>
  <c r="G169" i="2"/>
  <c r="I169" i="2"/>
  <c r="J169" i="2"/>
  <c r="L161" i="2"/>
  <c r="F161" i="2"/>
  <c r="N161" i="2"/>
  <c r="G161" i="2"/>
  <c r="I161" i="2"/>
  <c r="J161" i="2"/>
  <c r="K161" i="2"/>
  <c r="M161" i="2"/>
  <c r="E161" i="2"/>
  <c r="H161" i="2"/>
  <c r="E153" i="2"/>
  <c r="M153" i="2"/>
  <c r="H153" i="2"/>
  <c r="G153" i="2"/>
  <c r="J153" i="2"/>
  <c r="K153" i="2"/>
  <c r="N153" i="2"/>
  <c r="F153" i="2"/>
  <c r="I153" i="2"/>
  <c r="L153" i="2"/>
  <c r="K145" i="2"/>
  <c r="F145" i="2"/>
  <c r="N145" i="2"/>
  <c r="M145" i="2"/>
  <c r="E145" i="2"/>
  <c r="G145" i="2"/>
  <c r="H145" i="2"/>
  <c r="I145" i="2"/>
  <c r="J145" i="2"/>
  <c r="L145" i="2"/>
  <c r="K137" i="2"/>
  <c r="E137" i="2"/>
  <c r="M137" i="2"/>
  <c r="F137" i="2"/>
  <c r="N137" i="2"/>
  <c r="L137" i="2"/>
  <c r="G137" i="2"/>
  <c r="H137" i="2"/>
  <c r="I137" i="2"/>
  <c r="J137" i="2"/>
  <c r="E129" i="2"/>
  <c r="M129" i="2"/>
  <c r="I129" i="2"/>
  <c r="F129" i="2"/>
  <c r="H129" i="2"/>
  <c r="J129" i="2"/>
  <c r="G129" i="2"/>
  <c r="L129" i="2"/>
  <c r="N129" i="2"/>
  <c r="K129" i="2"/>
  <c r="E121" i="2"/>
  <c r="M121" i="2"/>
  <c r="G121" i="2"/>
  <c r="I121" i="2"/>
  <c r="F121" i="2"/>
  <c r="H121" i="2"/>
  <c r="L121" i="2"/>
  <c r="N121" i="2"/>
  <c r="J121" i="2"/>
  <c r="K105" i="2"/>
  <c r="E105" i="2"/>
  <c r="M105" i="2"/>
  <c r="G105" i="2"/>
  <c r="L105" i="2"/>
  <c r="N105" i="2"/>
  <c r="F105" i="2"/>
  <c r="H105" i="2"/>
  <c r="I105" i="2"/>
  <c r="J105" i="2"/>
  <c r="I97" i="2"/>
  <c r="K97" i="2"/>
  <c r="E97" i="2"/>
  <c r="M97" i="2"/>
  <c r="F97" i="2"/>
  <c r="H97" i="2"/>
  <c r="J97" i="2"/>
  <c r="G97" i="2"/>
  <c r="L97" i="2"/>
  <c r="N97" i="2"/>
  <c r="I89" i="2"/>
  <c r="K89" i="2"/>
  <c r="E89" i="2"/>
  <c r="M89" i="2"/>
  <c r="H89" i="2"/>
  <c r="L89" i="2"/>
  <c r="N89" i="2"/>
  <c r="F89" i="2"/>
  <c r="G89" i="2"/>
  <c r="J89" i="2"/>
  <c r="I81" i="2"/>
  <c r="K81" i="2"/>
  <c r="E81" i="2"/>
  <c r="M81" i="2"/>
  <c r="L81" i="2"/>
  <c r="F81" i="2"/>
  <c r="G81" i="2"/>
  <c r="H81" i="2"/>
  <c r="J81" i="2"/>
  <c r="N81" i="2"/>
  <c r="I73" i="2"/>
  <c r="K73" i="2"/>
  <c r="E73" i="2"/>
  <c r="M73" i="2"/>
  <c r="L73" i="2"/>
  <c r="N73" i="2"/>
  <c r="F73" i="2"/>
  <c r="G73" i="2"/>
  <c r="H73" i="2"/>
  <c r="J73" i="2"/>
  <c r="H65" i="2"/>
  <c r="J65" i="2"/>
  <c r="K65" i="2"/>
  <c r="L65" i="2"/>
  <c r="E65" i="2"/>
  <c r="M65" i="2"/>
  <c r="F65" i="2"/>
  <c r="N65" i="2"/>
  <c r="G65" i="2"/>
  <c r="I65" i="2"/>
  <c r="H57" i="2"/>
  <c r="I57" i="2"/>
  <c r="J57" i="2"/>
  <c r="K57" i="2"/>
  <c r="L57" i="2"/>
  <c r="E57" i="2"/>
  <c r="M57" i="2"/>
  <c r="F57" i="2"/>
  <c r="N57" i="2"/>
  <c r="G57" i="2"/>
  <c r="H49" i="2"/>
  <c r="I49" i="2"/>
  <c r="J49" i="2"/>
  <c r="K49" i="2"/>
  <c r="L49" i="2"/>
  <c r="E49" i="2"/>
  <c r="M49" i="2"/>
  <c r="F49" i="2"/>
  <c r="N49" i="2"/>
  <c r="G49" i="2"/>
  <c r="H41" i="2"/>
  <c r="I41" i="2"/>
  <c r="J41" i="2"/>
  <c r="K41" i="2"/>
  <c r="L41" i="2"/>
  <c r="E41" i="2"/>
  <c r="M41" i="2"/>
  <c r="F41" i="2"/>
  <c r="N41" i="2"/>
  <c r="G41" i="2"/>
  <c r="G33" i="2"/>
  <c r="H33" i="2"/>
  <c r="I33" i="2"/>
  <c r="J33" i="2"/>
  <c r="K33" i="2"/>
  <c r="L33" i="2"/>
  <c r="E33" i="2"/>
  <c r="M33" i="2"/>
  <c r="N33" i="2"/>
  <c r="F33" i="2"/>
  <c r="G25" i="2"/>
  <c r="H25" i="2"/>
  <c r="I25" i="2"/>
  <c r="J25" i="2"/>
  <c r="K25" i="2"/>
  <c r="L25" i="2"/>
  <c r="E25" i="2"/>
  <c r="M25" i="2"/>
  <c r="N25" i="2"/>
  <c r="F25" i="2"/>
  <c r="G17" i="2"/>
  <c r="H17" i="2"/>
  <c r="I17" i="2"/>
  <c r="J17" i="2"/>
  <c r="K17" i="2"/>
  <c r="L17" i="2"/>
  <c r="E17" i="2"/>
  <c r="M17" i="2"/>
  <c r="N17" i="2"/>
  <c r="F17" i="2"/>
  <c r="G9" i="2"/>
  <c r="H9" i="2"/>
  <c r="I9" i="2"/>
  <c r="J9" i="2"/>
  <c r="K9" i="2"/>
  <c r="L9" i="2"/>
  <c r="E9" i="2"/>
  <c r="M9" i="2"/>
  <c r="F9" i="2"/>
  <c r="N9" i="2"/>
  <c r="C145" i="2"/>
  <c r="C137" i="2"/>
  <c r="C93" i="2"/>
  <c r="C85" i="2"/>
  <c r="C77" i="2"/>
  <c r="C69" i="2"/>
  <c r="C61" i="2"/>
  <c r="C53" i="2"/>
  <c r="C45" i="2"/>
  <c r="C37" i="2"/>
  <c r="C28" i="2"/>
  <c r="C20" i="2"/>
  <c r="C12" i="2"/>
  <c r="C4" i="2"/>
  <c r="D285" i="2"/>
  <c r="D145" i="2"/>
  <c r="D137" i="2"/>
  <c r="D93" i="2"/>
  <c r="D85" i="2"/>
  <c r="D76" i="2"/>
  <c r="D65" i="2"/>
  <c r="D44" i="2"/>
  <c r="D33" i="2"/>
  <c r="D12" i="2"/>
  <c r="G285" i="2"/>
  <c r="M277" i="2"/>
  <c r="N273" i="2"/>
  <c r="E265" i="2"/>
  <c r="J257" i="2"/>
  <c r="J253" i="2"/>
  <c r="G249" i="2"/>
  <c r="E245" i="2"/>
  <c r="E229" i="2"/>
  <c r="K225" i="2"/>
  <c r="F157" i="2"/>
  <c r="C35" i="2"/>
  <c r="C27" i="2"/>
  <c r="C19" i="2"/>
  <c r="C11" i="2"/>
  <c r="D161" i="2"/>
  <c r="D153" i="2"/>
  <c r="D109" i="2"/>
  <c r="D101" i="2"/>
  <c r="D92" i="2"/>
  <c r="D84" i="2"/>
  <c r="D75" i="2"/>
  <c r="D53" i="2"/>
  <c r="D43" i="2"/>
  <c r="D21" i="2"/>
  <c r="D11" i="2"/>
  <c r="F285" i="2"/>
  <c r="L277" i="2"/>
  <c r="M273" i="2"/>
  <c r="N269" i="2"/>
  <c r="G257" i="2"/>
  <c r="E253" i="2"/>
  <c r="G225" i="2"/>
  <c r="L221" i="2"/>
  <c r="G111" i="2"/>
  <c r="I111" i="2"/>
  <c r="K111" i="2"/>
  <c r="F111" i="2"/>
  <c r="H111" i="2"/>
  <c r="E111" i="2"/>
  <c r="J111" i="2"/>
  <c r="L111" i="2"/>
  <c r="M111" i="2"/>
  <c r="N111" i="2"/>
  <c r="G103" i="2"/>
  <c r="I103" i="2"/>
  <c r="K103" i="2"/>
  <c r="F103" i="2"/>
  <c r="J103" i="2"/>
  <c r="L103" i="2"/>
  <c r="N103" i="2"/>
  <c r="E103" i="2"/>
  <c r="H103" i="2"/>
  <c r="M103" i="2"/>
  <c r="E95" i="2"/>
  <c r="M95" i="2"/>
  <c r="G95" i="2"/>
  <c r="I95" i="2"/>
  <c r="L95" i="2"/>
  <c r="F95" i="2"/>
  <c r="H95" i="2"/>
  <c r="J95" i="2"/>
  <c r="K95" i="2"/>
  <c r="N95" i="2"/>
  <c r="E87" i="2"/>
  <c r="M87" i="2"/>
  <c r="G87" i="2"/>
  <c r="I87" i="2"/>
  <c r="F87" i="2"/>
  <c r="H87" i="2"/>
  <c r="J87" i="2"/>
  <c r="K87" i="2"/>
  <c r="L87" i="2"/>
  <c r="N87" i="2"/>
  <c r="E79" i="2"/>
  <c r="M79" i="2"/>
  <c r="G79" i="2"/>
  <c r="I79" i="2"/>
  <c r="F79" i="2"/>
  <c r="J79" i="2"/>
  <c r="K79" i="2"/>
  <c r="H79" i="2"/>
  <c r="L79" i="2"/>
  <c r="N79" i="2"/>
  <c r="H71" i="2"/>
  <c r="I71" i="2"/>
  <c r="J71" i="2"/>
  <c r="M71" i="2"/>
  <c r="F71" i="2"/>
  <c r="E71" i="2"/>
  <c r="G71" i="2"/>
  <c r="L71" i="2"/>
  <c r="N71" i="2"/>
  <c r="K71" i="2"/>
  <c r="L63" i="2"/>
  <c r="E63" i="2"/>
  <c r="M63" i="2"/>
  <c r="F63" i="2"/>
  <c r="N63" i="2"/>
  <c r="G63" i="2"/>
  <c r="H63" i="2"/>
  <c r="I63" i="2"/>
  <c r="J63" i="2"/>
  <c r="K63" i="2"/>
  <c r="L55" i="2"/>
  <c r="E55" i="2"/>
  <c r="M55" i="2"/>
  <c r="F55" i="2"/>
  <c r="N55" i="2"/>
  <c r="G55" i="2"/>
  <c r="H55" i="2"/>
  <c r="I55" i="2"/>
  <c r="J55" i="2"/>
  <c r="K55" i="2"/>
  <c r="L47" i="2"/>
  <c r="E47" i="2"/>
  <c r="M47" i="2"/>
  <c r="F47" i="2"/>
  <c r="N47" i="2"/>
  <c r="G47" i="2"/>
  <c r="H47" i="2"/>
  <c r="I47" i="2"/>
  <c r="J47" i="2"/>
  <c r="K47" i="2"/>
  <c r="L39" i="2"/>
  <c r="E39" i="2"/>
  <c r="M39" i="2"/>
  <c r="F39" i="2"/>
  <c r="N39" i="2"/>
  <c r="G39" i="2"/>
  <c r="H39" i="2"/>
  <c r="I39" i="2"/>
  <c r="J39" i="2"/>
  <c r="K39" i="2"/>
  <c r="K31" i="2"/>
  <c r="L31" i="2"/>
  <c r="E31" i="2"/>
  <c r="M31" i="2"/>
  <c r="F31" i="2"/>
  <c r="N31" i="2"/>
  <c r="G31" i="2"/>
  <c r="H31" i="2"/>
  <c r="I31" i="2"/>
  <c r="J31" i="2"/>
  <c r="K23" i="2"/>
  <c r="L23" i="2"/>
  <c r="E23" i="2"/>
  <c r="M23" i="2"/>
  <c r="F23" i="2"/>
  <c r="N23" i="2"/>
  <c r="G23" i="2"/>
  <c r="H23" i="2"/>
  <c r="I23" i="2"/>
  <c r="J23" i="2"/>
  <c r="K15" i="2"/>
  <c r="L15" i="2"/>
  <c r="E15" i="2"/>
  <c r="M15" i="2"/>
  <c r="F15" i="2"/>
  <c r="N15" i="2"/>
  <c r="G15" i="2"/>
  <c r="H15" i="2"/>
  <c r="I15" i="2"/>
  <c r="J15" i="2"/>
  <c r="K7" i="2"/>
  <c r="L7" i="2"/>
  <c r="E7" i="2"/>
  <c r="M7" i="2"/>
  <c r="F7" i="2"/>
  <c r="N7" i="2"/>
  <c r="G7" i="2"/>
  <c r="H7" i="2"/>
  <c r="I7" i="2"/>
  <c r="J7" i="2"/>
  <c r="C273" i="2"/>
  <c r="C265" i="2"/>
  <c r="C257" i="2"/>
  <c r="C249" i="2"/>
  <c r="C241" i="2"/>
  <c r="C233" i="2"/>
  <c r="C225" i="2"/>
  <c r="C217" i="2"/>
  <c r="C209" i="2"/>
  <c r="C201" i="2"/>
  <c r="C193" i="2"/>
  <c r="C185" i="2"/>
  <c r="C177" i="2"/>
  <c r="C169" i="2"/>
  <c r="C125" i="2"/>
  <c r="C117" i="2"/>
  <c r="C108" i="2"/>
  <c r="C99" i="2"/>
  <c r="C91" i="2"/>
  <c r="C83" i="2"/>
  <c r="C75" i="2"/>
  <c r="C67" i="2"/>
  <c r="C59" i="2"/>
  <c r="C51" i="2"/>
  <c r="C43" i="2"/>
  <c r="D201" i="2"/>
  <c r="D193" i="2"/>
  <c r="D185" i="2"/>
  <c r="D177" i="2"/>
  <c r="D169" i="2"/>
  <c r="D125" i="2"/>
  <c r="D117" i="2"/>
  <c r="D108" i="2"/>
  <c r="D99" i="2"/>
  <c r="D91" i="2"/>
  <c r="D83" i="2"/>
  <c r="D73" i="2"/>
  <c r="D63" i="2"/>
  <c r="D52" i="2"/>
  <c r="D41" i="2"/>
  <c r="D31" i="2"/>
  <c r="D20" i="2"/>
  <c r="D9" i="2"/>
  <c r="J277" i="2"/>
  <c r="L273" i="2"/>
  <c r="M269" i="2"/>
  <c r="N265" i="2"/>
  <c r="M241" i="2"/>
  <c r="J221" i="2"/>
  <c r="M217" i="2"/>
  <c r="J213" i="2"/>
  <c r="J205" i="2"/>
  <c r="K121" i="2"/>
  <c r="C152" i="2"/>
  <c r="L152" i="2"/>
  <c r="D152" i="2"/>
  <c r="K152" i="2"/>
  <c r="J152" i="2"/>
  <c r="I152" i="2"/>
  <c r="H152" i="2"/>
  <c r="G152" i="2"/>
  <c r="N152" i="2"/>
  <c r="F152" i="2"/>
  <c r="M152" i="2"/>
  <c r="C113" i="2"/>
  <c r="J113" i="2"/>
  <c r="I113" i="2"/>
  <c r="D113" i="2"/>
  <c r="H113" i="2"/>
  <c r="G113" i="2"/>
  <c r="N113" i="2"/>
  <c r="F113" i="2"/>
  <c r="M113" i="2"/>
  <c r="E113" i="2"/>
  <c r="L113" i="2"/>
  <c r="C100" i="2"/>
  <c r="N100" i="2"/>
  <c r="F100" i="2"/>
  <c r="M100" i="2"/>
  <c r="E100" i="2"/>
  <c r="L100" i="2"/>
  <c r="D100" i="2"/>
  <c r="K100" i="2"/>
  <c r="J100" i="2"/>
  <c r="I100" i="2"/>
  <c r="H100" i="2"/>
  <c r="L281" i="2"/>
  <c r="K281" i="2"/>
  <c r="C281" i="2"/>
  <c r="J281" i="2"/>
  <c r="I281" i="2"/>
  <c r="H281" i="2"/>
  <c r="G281" i="2"/>
  <c r="N281" i="2"/>
  <c r="F281" i="2"/>
  <c r="D281" i="2"/>
  <c r="M281" i="2"/>
  <c r="M203" i="2"/>
  <c r="E203" i="2"/>
  <c r="L203" i="2"/>
  <c r="K203" i="2"/>
  <c r="D203" i="2"/>
  <c r="J203" i="2"/>
  <c r="I203" i="2"/>
  <c r="C166" i="2"/>
  <c r="K166" i="2"/>
  <c r="J166" i="2"/>
  <c r="I166" i="2"/>
  <c r="H166" i="2"/>
  <c r="G166" i="2"/>
  <c r="N166" i="2"/>
  <c r="F166" i="2"/>
  <c r="D166" i="2"/>
  <c r="M166" i="2"/>
  <c r="J133" i="2"/>
  <c r="I133" i="2"/>
  <c r="H133" i="2"/>
  <c r="D133" i="2"/>
  <c r="G133" i="2"/>
  <c r="C133" i="2"/>
  <c r="N133" i="2"/>
  <c r="F133" i="2"/>
  <c r="M133" i="2"/>
  <c r="E133" i="2"/>
  <c r="I136" i="2"/>
  <c r="H136" i="2"/>
  <c r="G136" i="2"/>
  <c r="N136" i="2"/>
  <c r="F136" i="2"/>
  <c r="M136" i="2"/>
  <c r="E136" i="2"/>
  <c r="L136" i="2"/>
  <c r="C136" i="2"/>
  <c r="D136" i="2"/>
  <c r="C36" i="2"/>
  <c r="L36" i="2"/>
  <c r="J36" i="2"/>
  <c r="I36" i="2"/>
  <c r="H36" i="2"/>
  <c r="G36" i="2"/>
  <c r="N36" i="2"/>
  <c r="F36" i="2"/>
  <c r="M36" i="2"/>
  <c r="K3" i="3" l="1"/>
  <c r="J3" i="3"/>
  <c r="I3" i="3"/>
  <c r="G3" i="3"/>
  <c r="L3" i="3"/>
  <c r="C3" i="3"/>
  <c r="F3" i="3"/>
  <c r="D3" i="3"/>
  <c r="E3" i="3"/>
  <c r="H3" i="3"/>
  <c r="M3" i="3"/>
  <c r="B3" i="3"/>
</calcChain>
</file>

<file path=xl/sharedStrings.xml><?xml version="1.0" encoding="utf-8"?>
<sst xmlns="http://schemas.openxmlformats.org/spreadsheetml/2006/main" count="669" uniqueCount="354">
  <si>
    <t>instance</t>
  </si>
  <si>
    <t>GMS_Gurobi_</t>
  </si>
  <si>
    <t>GMS_LocalSolver_</t>
  </si>
  <si>
    <t>BranchAndBound</t>
  </si>
  <si>
    <t>LocalSolver</t>
  </si>
  <si>
    <t>GA0</t>
  </si>
  <si>
    <t>GA1</t>
  </si>
  <si>
    <t>GA2</t>
  </si>
  <si>
    <t>GA3</t>
  </si>
  <si>
    <t>GA4</t>
  </si>
  <si>
    <t>LocalSolverNative0</t>
  </si>
  <si>
    <t>LocalSolverNative1</t>
  </si>
  <si>
    <t>LocalSolverNative2</t>
  </si>
  <si>
    <t>j30/j3010_1.sm</t>
  </si>
  <si>
    <t>j30/j3010_10.sm</t>
  </si>
  <si>
    <t>j30/j3010_2.sm</t>
  </si>
  <si>
    <t>j30/j3010_3.sm</t>
  </si>
  <si>
    <t>j30/j3010_4.sm</t>
  </si>
  <si>
    <t>j30/j3010_5.sm</t>
  </si>
  <si>
    <t>j30/j3010_6.sm</t>
  </si>
  <si>
    <t>j30/j3010_7.sm</t>
  </si>
  <si>
    <t>j30/j3010_8.sm</t>
  </si>
  <si>
    <t>j30/j3011_1.sm</t>
  </si>
  <si>
    <t>j30/j3011_10.sm</t>
  </si>
  <si>
    <t>j30/j3011_2.sm</t>
  </si>
  <si>
    <t>j30/j3011_4.sm</t>
  </si>
  <si>
    <t>j30/j3011_5.sm</t>
  </si>
  <si>
    <t>j30/j3011_6.sm</t>
  </si>
  <si>
    <t>j30/j3011_7.sm</t>
  </si>
  <si>
    <t>j30/j3011_8.sm</t>
  </si>
  <si>
    <t>j30/j3011_9.sm</t>
  </si>
  <si>
    <t>j30/j3013_10.sm</t>
  </si>
  <si>
    <t>j30/j3013_3.sm</t>
  </si>
  <si>
    <t>j30/j3013_4.sm</t>
  </si>
  <si>
    <t>j30/j3013_7.sm</t>
  </si>
  <si>
    <t>j30/j3013_9.sm</t>
  </si>
  <si>
    <t>j30/j3014_1.sm</t>
  </si>
  <si>
    <t>j30/j3014_10.sm</t>
  </si>
  <si>
    <t>j30/j3014_2.sm</t>
  </si>
  <si>
    <t>j30/j3014_3.sm</t>
  </si>
  <si>
    <t>j30/j3014_4.sm</t>
  </si>
  <si>
    <t>j30/j3014_5.sm</t>
  </si>
  <si>
    <t>j30/j3014_6.sm</t>
  </si>
  <si>
    <t>j30/j3014_7.sm</t>
  </si>
  <si>
    <t>j30/j3014_8.sm</t>
  </si>
  <si>
    <t>j30/j3014_9.sm</t>
  </si>
  <si>
    <t>j30/j3015_2.sm</t>
  </si>
  <si>
    <t>j30/j3015_3.sm</t>
  </si>
  <si>
    <t>j30/j3015_5.sm</t>
  </si>
  <si>
    <t>j30/j3015_7.sm</t>
  </si>
  <si>
    <t>j30/j3015_8.sm</t>
  </si>
  <si>
    <t>j30/j3015_9.sm</t>
  </si>
  <si>
    <t>j30/j3017_1.sm</t>
  </si>
  <si>
    <t>j30/j3017_10.sm</t>
  </si>
  <si>
    <t>j30/j3017_2.sm</t>
  </si>
  <si>
    <t>j30/j3017_4.sm</t>
  </si>
  <si>
    <t>j30/j3017_5.sm</t>
  </si>
  <si>
    <t>j30/j3017_6.sm</t>
  </si>
  <si>
    <t>j30/j3017_7.sm</t>
  </si>
  <si>
    <t>j30/j3017_8.sm</t>
  </si>
  <si>
    <t>j30/j3017_9.sm</t>
  </si>
  <si>
    <t>j30/j3018_1.sm</t>
  </si>
  <si>
    <t>j30/j3018_10.sm</t>
  </si>
  <si>
    <t>j30/j3018_2.sm</t>
  </si>
  <si>
    <t>j30/j3018_3.sm</t>
  </si>
  <si>
    <t>j30/j3018_4.sm</t>
  </si>
  <si>
    <t>j30/j3018_5.sm</t>
  </si>
  <si>
    <t>j30/j3018_6.sm</t>
  </si>
  <si>
    <t>j30/j3018_7.sm</t>
  </si>
  <si>
    <t>j30/j3018_8.sm</t>
  </si>
  <si>
    <t>j30/j3018_9.sm</t>
  </si>
  <si>
    <t>j30/j3019_1.sm</t>
  </si>
  <si>
    <t>j30/j3019_10.sm</t>
  </si>
  <si>
    <t>j30/j3019_3.sm</t>
  </si>
  <si>
    <t>j30/j3019_4.sm</t>
  </si>
  <si>
    <t>j30/j3019_5.sm</t>
  </si>
  <si>
    <t>j30/j3019_6.sm</t>
  </si>
  <si>
    <t>j30/j3019_7.sm</t>
  </si>
  <si>
    <t>j30/j3019_8.sm</t>
  </si>
  <si>
    <t>j30/j3019_9.sm</t>
  </si>
  <si>
    <t>j30/j301_1.sm</t>
  </si>
  <si>
    <t>j30/j301_10.sm</t>
  </si>
  <si>
    <t>j30/j301_2.sm</t>
  </si>
  <si>
    <t>j30/j301_3.sm</t>
  </si>
  <si>
    <t>j30/j301_4.sm</t>
  </si>
  <si>
    <t>j30/j301_5.sm</t>
  </si>
  <si>
    <t>j30/j301_6.sm</t>
  </si>
  <si>
    <t>j30/j301_7.sm</t>
  </si>
  <si>
    <t>j30/j301_8.sm</t>
  </si>
  <si>
    <t>j30/j301_9.sm</t>
  </si>
  <si>
    <t>j30/j3021_1.sm</t>
  </si>
  <si>
    <t>j30/j3021_10.sm</t>
  </si>
  <si>
    <t>j30/j3021_2.sm</t>
  </si>
  <si>
    <t>j30/j3021_3.sm</t>
  </si>
  <si>
    <t>j30/j3021_4.sm</t>
  </si>
  <si>
    <t>j30/j3021_5.sm</t>
  </si>
  <si>
    <t>j30/j3021_6.sm</t>
  </si>
  <si>
    <t>j30/j3021_7.sm</t>
  </si>
  <si>
    <t>j30/j3021_8.sm</t>
  </si>
  <si>
    <t>j30/j3021_9.sm</t>
  </si>
  <si>
    <t>j30/j3022_1.sm</t>
  </si>
  <si>
    <t>j30/j3022_10.sm</t>
  </si>
  <si>
    <t>j30/j3022_2.sm</t>
  </si>
  <si>
    <t>j30/j3022_3.sm</t>
  </si>
  <si>
    <t>j30/j3022_4.sm</t>
  </si>
  <si>
    <t>j30/j3022_5.sm</t>
  </si>
  <si>
    <t>j30/j3022_6.sm</t>
  </si>
  <si>
    <t>j30/j3022_7.sm</t>
  </si>
  <si>
    <t>j30/j3022_8.sm</t>
  </si>
  <si>
    <t>j30/j3022_9.sm</t>
  </si>
  <si>
    <t>j30/j3023_2.sm</t>
  </si>
  <si>
    <t>j30/j3023_3.sm</t>
  </si>
  <si>
    <t>j30/j3023_4.sm</t>
  </si>
  <si>
    <t>j30/j3023_5.sm</t>
  </si>
  <si>
    <t>j30/j3023_6.sm</t>
  </si>
  <si>
    <t>j30/j3023_7.sm</t>
  </si>
  <si>
    <t>j30/j3023_9.sm</t>
  </si>
  <si>
    <t>j30/j3025_10.sm</t>
  </si>
  <si>
    <t>j30/j3025_3.sm</t>
  </si>
  <si>
    <t>j30/j3025_5.sm</t>
  </si>
  <si>
    <t>j30/j3026_1.sm</t>
  </si>
  <si>
    <t>j30/j3026_10.sm</t>
  </si>
  <si>
    <t>j30/j3026_3.sm</t>
  </si>
  <si>
    <t>j30/j3026_4.sm</t>
  </si>
  <si>
    <t>j30/j3026_5.sm</t>
  </si>
  <si>
    <t>j30/j3026_6.sm</t>
  </si>
  <si>
    <t>j30/j3026_7.sm</t>
  </si>
  <si>
    <t>j30/j3026_8.sm</t>
  </si>
  <si>
    <t>j30/j3026_9.sm</t>
  </si>
  <si>
    <t>j30/j3027_1.sm</t>
  </si>
  <si>
    <t>j30/j3027_3.sm</t>
  </si>
  <si>
    <t>j30/j3027_4.sm</t>
  </si>
  <si>
    <t>j30/j3027_5.sm</t>
  </si>
  <si>
    <t>j30/j3027_6.sm</t>
  </si>
  <si>
    <t>j30/j3027_7.sm</t>
  </si>
  <si>
    <t>j30/j3027_8.sm</t>
  </si>
  <si>
    <t>j30/j3027_9.sm</t>
  </si>
  <si>
    <t>j30/j3029_1.sm</t>
  </si>
  <si>
    <t>j30/j3029_10.sm</t>
  </si>
  <si>
    <t>j30/j3029_7.sm</t>
  </si>
  <si>
    <t>j30/j302_1.sm</t>
  </si>
  <si>
    <t>j30/j302_10.sm</t>
  </si>
  <si>
    <t>j30/j302_2.sm</t>
  </si>
  <si>
    <t>j30/j302_3.sm</t>
  </si>
  <si>
    <t>j30/j302_4.sm</t>
  </si>
  <si>
    <t>j30/j302_5.sm</t>
  </si>
  <si>
    <t>j30/j302_7.sm</t>
  </si>
  <si>
    <t>j30/j302_8.sm</t>
  </si>
  <si>
    <t>j30/j302_9.sm</t>
  </si>
  <si>
    <t>j30/j3030_1.sm</t>
  </si>
  <si>
    <t>j30/j3030_10.sm</t>
  </si>
  <si>
    <t>j30/j3030_2.sm</t>
  </si>
  <si>
    <t>j30/j3030_3.sm</t>
  </si>
  <si>
    <t>j30/j3030_4.sm</t>
  </si>
  <si>
    <t>j30/j3030_5.sm</t>
  </si>
  <si>
    <t>j30/j3030_6.sm</t>
  </si>
  <si>
    <t>j30/j3030_7.sm</t>
  </si>
  <si>
    <t>j30/j3030_8.sm</t>
  </si>
  <si>
    <t>j30/j3030_9.sm</t>
  </si>
  <si>
    <t>j30/j3031_10.sm</t>
  </si>
  <si>
    <t>j30/j3031_3.sm</t>
  </si>
  <si>
    <t>j30/j3031_5.sm</t>
  </si>
  <si>
    <t>j30/j3031_6.sm</t>
  </si>
  <si>
    <t>j30/j3031_7.sm</t>
  </si>
  <si>
    <t>j30/j3031_8.sm</t>
  </si>
  <si>
    <t>j30/j3031_9.sm</t>
  </si>
  <si>
    <t>j30/j3033_1.sm</t>
  </si>
  <si>
    <t>j30/j3033_2.sm</t>
  </si>
  <si>
    <t>j30/j3033_3.sm</t>
  </si>
  <si>
    <t>j30/j3033_4.sm</t>
  </si>
  <si>
    <t>j30/j3033_5.sm</t>
  </si>
  <si>
    <t>j30/j3033_6.sm</t>
  </si>
  <si>
    <t>j30/j3033_7.sm</t>
  </si>
  <si>
    <t>j30/j3033_8.sm</t>
  </si>
  <si>
    <t>j30/j3033_9.sm</t>
  </si>
  <si>
    <t>j30/j3034_1.sm</t>
  </si>
  <si>
    <t>j30/j3034_10.sm</t>
  </si>
  <si>
    <t>j30/j3034_2.sm</t>
  </si>
  <si>
    <t>j30/j3034_3.sm</t>
  </si>
  <si>
    <t>j30/j3034_4.sm</t>
  </si>
  <si>
    <t>j30/j3034_5.sm</t>
  </si>
  <si>
    <t>j30/j3034_6.sm</t>
  </si>
  <si>
    <t>j30/j3034_7.sm</t>
  </si>
  <si>
    <t>j30/j3034_8.sm</t>
  </si>
  <si>
    <t>j30/j3035_1.sm</t>
  </si>
  <si>
    <t>j30/j3035_10.sm</t>
  </si>
  <si>
    <t>j30/j3035_3.sm</t>
  </si>
  <si>
    <t>j30/j3035_4.sm</t>
  </si>
  <si>
    <t>j30/j3035_5.sm</t>
  </si>
  <si>
    <t>j30/j3035_6.sm</t>
  </si>
  <si>
    <t>j30/j3035_7.sm</t>
  </si>
  <si>
    <t>j30/j3035_9.sm</t>
  </si>
  <si>
    <t>j30/j3037_1.sm</t>
  </si>
  <si>
    <t>j30/j3037_10.sm</t>
  </si>
  <si>
    <t>j30/j3037_2.sm</t>
  </si>
  <si>
    <t>j30/j3037_4.sm</t>
  </si>
  <si>
    <t>j30/j3037_5.sm</t>
  </si>
  <si>
    <t>j30/j3037_6.sm</t>
  </si>
  <si>
    <t>j30/j3037_8.sm</t>
  </si>
  <si>
    <t>j30/j3037_9.sm</t>
  </si>
  <si>
    <t>j30/j3038_1.sm</t>
  </si>
  <si>
    <t>j30/j3038_10.sm</t>
  </si>
  <si>
    <t>j30/j3038_2.sm</t>
  </si>
  <si>
    <t>j30/j3038_3.sm</t>
  </si>
  <si>
    <t>j30/j3038_4.sm</t>
  </si>
  <si>
    <t>j30/j3038_5.sm</t>
  </si>
  <si>
    <t>j30/j3038_6.sm</t>
  </si>
  <si>
    <t>j30/j3038_7.sm</t>
  </si>
  <si>
    <t>j30/j3038_8.sm</t>
  </si>
  <si>
    <t>j30/j3038_9.sm</t>
  </si>
  <si>
    <t>j30/j3039_1.sm</t>
  </si>
  <si>
    <t>j30/j3039_10.sm</t>
  </si>
  <si>
    <t>j30/j3039_3.sm</t>
  </si>
  <si>
    <t>j30/j3039_4.sm</t>
  </si>
  <si>
    <t>j30/j3039_5.sm</t>
  </si>
  <si>
    <t>j30/j3039_6.sm</t>
  </si>
  <si>
    <t>j30/j3039_7.sm</t>
  </si>
  <si>
    <t>j30/j3039_9.sm</t>
  </si>
  <si>
    <t>j30/j303_1.sm</t>
  </si>
  <si>
    <t>j30/j303_10.sm</t>
  </si>
  <si>
    <t>j30/j303_2.sm</t>
  </si>
  <si>
    <t>j30/j303_5.sm</t>
  </si>
  <si>
    <t>j30/j303_6.sm</t>
  </si>
  <si>
    <t>j30/j303_9.sm</t>
  </si>
  <si>
    <t>j30/j3041_3.sm</t>
  </si>
  <si>
    <t>j30/j3041_6.sm</t>
  </si>
  <si>
    <t>j30/j3042_1.sm</t>
  </si>
  <si>
    <t>j30/j3042_10.sm</t>
  </si>
  <si>
    <t>j30/j3042_2.sm</t>
  </si>
  <si>
    <t>j30/j3042_3.sm</t>
  </si>
  <si>
    <t>j30/j3042_4.sm</t>
  </si>
  <si>
    <t>j30/j3042_5.sm</t>
  </si>
  <si>
    <t>j30/j3042_6.sm</t>
  </si>
  <si>
    <t>j30/j3042_7.sm</t>
  </si>
  <si>
    <t>j30/j3042_8.sm</t>
  </si>
  <si>
    <t>j30/j3042_9.sm</t>
  </si>
  <si>
    <t>j30/j3043_1.sm</t>
  </si>
  <si>
    <t>j30/j3043_10.sm</t>
  </si>
  <si>
    <t>j30/j3043_2.sm</t>
  </si>
  <si>
    <t>j30/j3043_3.sm</t>
  </si>
  <si>
    <t>j30/j3043_4.sm</t>
  </si>
  <si>
    <t>j30/j3043_5.sm</t>
  </si>
  <si>
    <t>j30/j3043_6.sm</t>
  </si>
  <si>
    <t>j30/j3043_7.sm</t>
  </si>
  <si>
    <t>j30/j3043_8.sm</t>
  </si>
  <si>
    <t>j30/j3043_9.sm</t>
  </si>
  <si>
    <t>j30/j3045_10.sm</t>
  </si>
  <si>
    <t>j30/j3045_3.sm</t>
  </si>
  <si>
    <t>j30/j3045_8.sm</t>
  </si>
  <si>
    <t>j30/j3046_1.sm</t>
  </si>
  <si>
    <t>j30/j3046_10.sm</t>
  </si>
  <si>
    <t>j30/j3046_2.sm</t>
  </si>
  <si>
    <t>j30/j3046_3.sm</t>
  </si>
  <si>
    <t>j30/j3046_4.sm</t>
  </si>
  <si>
    <t>j30/j3046_5.sm</t>
  </si>
  <si>
    <t>j30/j3046_6.sm</t>
  </si>
  <si>
    <t>j30/j3046_7.sm</t>
  </si>
  <si>
    <t>j30/j3046_8.sm</t>
  </si>
  <si>
    <t>j30/j3046_9.sm</t>
  </si>
  <si>
    <t>j30/j3047_1.sm</t>
  </si>
  <si>
    <t>j30/j3047_10.sm</t>
  </si>
  <si>
    <t>j30/j3047_2.sm</t>
  </si>
  <si>
    <t>j30/j3047_3.sm</t>
  </si>
  <si>
    <t>j30/j3047_4.sm</t>
  </si>
  <si>
    <t>j30/j3047_5.sm</t>
  </si>
  <si>
    <t>j30/j3047_6.sm</t>
  </si>
  <si>
    <t>j30/j3047_7.sm</t>
  </si>
  <si>
    <t>j30/j3047_8.sm</t>
  </si>
  <si>
    <t>j30/j3047_9.sm</t>
  </si>
  <si>
    <t>j30/j305_1.sm</t>
  </si>
  <si>
    <t>j30/j305_10.sm</t>
  </si>
  <si>
    <t>j30/j305_2.sm</t>
  </si>
  <si>
    <t>j30/j305_3.sm</t>
  </si>
  <si>
    <t>j30/j305_4.sm</t>
  </si>
  <si>
    <t>j30/j305_5.sm</t>
  </si>
  <si>
    <t>j30/j305_6.sm</t>
  </si>
  <si>
    <t>j30/j305_8.sm</t>
  </si>
  <si>
    <t>j30/j305_9.sm</t>
  </si>
  <si>
    <t>j30/j306_1.sm</t>
  </si>
  <si>
    <t>j30/j306_10.sm</t>
  </si>
  <si>
    <t>j30/j306_2.sm</t>
  </si>
  <si>
    <t>j30/j306_3.sm</t>
  </si>
  <si>
    <t>j30/j306_4.sm</t>
  </si>
  <si>
    <t>j30/j306_5.sm</t>
  </si>
  <si>
    <t>j30/j306_6.sm</t>
  </si>
  <si>
    <t>j30/j306_7.sm</t>
  </si>
  <si>
    <t>j30/j306_8.sm</t>
  </si>
  <si>
    <t>j30/j306_9.sm</t>
  </si>
  <si>
    <t>j30/j307_10.sm</t>
  </si>
  <si>
    <t>j30/j307_3.sm</t>
  </si>
  <si>
    <t>j30/j307_5.sm</t>
  </si>
  <si>
    <t>j30/j307_6.sm</t>
  </si>
  <si>
    <t>j30/j307_7.sm</t>
  </si>
  <si>
    <t>j30/j307_8.sm</t>
  </si>
  <si>
    <t>j30/j307_9.sm</t>
  </si>
  <si>
    <t>j30/j309_1.sm</t>
  </si>
  <si>
    <t>j30/j309_10.sm</t>
  </si>
  <si>
    <t>j30/j309_2.sm</t>
  </si>
  <si>
    <t>j30/j309_4.sm</t>
  </si>
  <si>
    <t>j30/j309_5.sm</t>
  </si>
  <si>
    <t>j30/j309_6.sm</t>
  </si>
  <si>
    <t>j30/j309_7.sm</t>
  </si>
  <si>
    <t>j30/j309_8.sm</t>
  </si>
  <si>
    <t>Beta</t>
  </si>
  <si>
    <t>Tau</t>
  </si>
  <si>
    <t>Zr</t>
  </si>
  <si>
    <t>Zrt</t>
  </si>
  <si>
    <t>Lambda</t>
  </si>
  <si>
    <t>real</t>
  </si>
  <si>
    <t>binary</t>
  </si>
  <si>
    <t>integer</t>
  </si>
  <si>
    <t>j30/j3013_1.sm</t>
  </si>
  <si>
    <t>j30/j3013_2.sm</t>
  </si>
  <si>
    <t>j30/j3013_5.sm</t>
  </si>
  <si>
    <t>j30/j3013_6.sm</t>
  </si>
  <si>
    <t>j30/j3013_8.sm</t>
  </si>
  <si>
    <t>j30/j3025_1.sm</t>
  </si>
  <si>
    <t>j30/j3025_2.sm</t>
  </si>
  <si>
    <t>j30/j3025_4.sm</t>
  </si>
  <si>
    <t>j30/j3025_6.sm</t>
  </si>
  <si>
    <t>j30/j3025_7.sm</t>
  </si>
  <si>
    <t>j30/j3025_8.sm</t>
  </si>
  <si>
    <t>j30/j3025_9.sm</t>
  </si>
  <si>
    <t>j30/j3029_2.sm</t>
  </si>
  <si>
    <t>j30/j3029_3.sm</t>
  </si>
  <si>
    <t>j30/j3029_4.sm</t>
  </si>
  <si>
    <t>j30/j3029_5.sm</t>
  </si>
  <si>
    <t>j30/j3029_6.sm</t>
  </si>
  <si>
    <t>j30/j3029_8.sm</t>
  </si>
  <si>
    <t>j30/j3029_9.sm</t>
  </si>
  <si>
    <t>j30/j3037_3.sm</t>
  </si>
  <si>
    <t>j30/j3037_7.sm</t>
  </si>
  <si>
    <t>j30/j3041_1.sm</t>
  </si>
  <si>
    <t>j30/j3041_10.sm</t>
  </si>
  <si>
    <t>j30/j3041_2.sm</t>
  </si>
  <si>
    <t>j30/j3041_4.sm</t>
  </si>
  <si>
    <t>j30/j3041_5.sm</t>
  </si>
  <si>
    <t>j30/j3041_7.sm</t>
  </si>
  <si>
    <t>j30/j3041_8.sm</t>
  </si>
  <si>
    <t>j30/j3041_9.sm</t>
  </si>
  <si>
    <t>j30/j3045_1.sm</t>
  </si>
  <si>
    <t>j30/j3045_2.sm</t>
  </si>
  <si>
    <t>j30/j3045_4.sm</t>
  </si>
  <si>
    <t>j30/j3045_5.sm</t>
  </si>
  <si>
    <t>j30/j3045_6.sm</t>
  </si>
  <si>
    <t>j30/j3045_7.sm</t>
  </si>
  <si>
    <t>j30/j3045_9.sm</t>
  </si>
  <si>
    <t>j30/j305_7.sm</t>
  </si>
  <si>
    <t>j30/j309_3.sm</t>
  </si>
  <si>
    <t>j30/j309_9.sm</t>
  </si>
  <si>
    <t>LocalSolverNative3</t>
  </si>
  <si>
    <t>LocalSolverNative4</t>
  </si>
  <si>
    <t>LocalSolverNative5</t>
  </si>
  <si>
    <t>BKS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</si>
</sst>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#0.##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10" fontId="0" fillId="0" borderId="0" xfId="1" applyNumberFormat="1" applyFont="1"/>
    <xf numFmtId="170" fontId="0" fillId="0" borderId="0" xfId="0" applyNumberForma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R331"/>
  <sheetViews>
    <sheetView tabSelected="1" workbookViewId="0">
      <selection activeCell="R4" sqref="R4"/>
    </sheetView>
  </sheetViews>
  <sheetFormatPr baseColWidth="10" defaultRowHeight="15" x14ac:dyDescent="0.25"/>
  <cols>
    <col min="5" max="17" width="13.5703125" bestFit="1" customWidth="1"/>
  </cols>
  <sheetData>
    <row r="2" spans="2:18" x14ac:dyDescent="0.2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350</v>
      </c>
      <c r="P2" s="3" t="s">
        <v>351</v>
      </c>
      <c r="Q2" s="3" t="s">
        <v>352</v>
      </c>
      <c r="R2" t="s">
        <v>353</v>
      </c>
    </row>
    <row r="3" spans="2:18" x14ac:dyDescent="0.25">
      <c r="B3" s="3" t="s">
        <v>13</v>
      </c>
      <c r="C3" s="3">
        <v>120.4622</v>
      </c>
      <c r="D3" s="3">
        <v>0</v>
      </c>
      <c r="E3" s="3">
        <v>104.160004</v>
      </c>
      <c r="F3" s="3">
        <v>112.395554</v>
      </c>
      <c r="G3" s="3">
        <v>120.462219</v>
      </c>
      <c r="H3" s="3">
        <v>114.962219</v>
      </c>
      <c r="I3" s="3">
        <v>120.462219</v>
      </c>
      <c r="J3" s="3">
        <v>120.462219</v>
      </c>
      <c r="K3" s="3">
        <v>60.462218999999997</v>
      </c>
      <c r="L3" s="3">
        <v>120.462219</v>
      </c>
      <c r="M3" s="3">
        <v>120.462219</v>
      </c>
      <c r="N3" s="3">
        <v>120.462219</v>
      </c>
      <c r="O3" s="3">
        <v>60.462218999999997</v>
      </c>
      <c r="P3" s="3">
        <v>93.5</v>
      </c>
      <c r="Q3" s="3">
        <v>111.5</v>
      </c>
      <c r="R3" s="3">
        <v>0</v>
      </c>
    </row>
    <row r="4" spans="2:18" x14ac:dyDescent="0.25">
      <c r="B4" s="3" t="s">
        <v>14</v>
      </c>
      <c r="C4" s="3">
        <v>176.39510000000001</v>
      </c>
      <c r="D4" s="3">
        <v>0</v>
      </c>
      <c r="E4" s="3">
        <v>139.39506499999999</v>
      </c>
      <c r="F4" s="3">
        <v>76.839507999999995</v>
      </c>
      <c r="G4" s="3">
        <v>170.89506499999999</v>
      </c>
      <c r="H4" s="3">
        <v>159.39506499999999</v>
      </c>
      <c r="I4" s="3">
        <v>161.88888499999999</v>
      </c>
      <c r="J4" s="3">
        <v>164.88888499999999</v>
      </c>
      <c r="K4" s="3">
        <v>91.895065000000002</v>
      </c>
      <c r="L4" s="3">
        <v>172.39506499999999</v>
      </c>
      <c r="M4" s="3">
        <v>168.59877</v>
      </c>
      <c r="N4" s="3">
        <v>159.88888499999999</v>
      </c>
      <c r="O4" s="3">
        <v>95.895065000000002</v>
      </c>
      <c r="P4" s="3">
        <v>77.5</v>
      </c>
      <c r="Q4" s="3">
        <v>132.5</v>
      </c>
      <c r="R4" s="3">
        <v>0</v>
      </c>
    </row>
    <row r="5" spans="2:18" x14ac:dyDescent="0.25">
      <c r="B5" s="3" t="s">
        <v>15</v>
      </c>
      <c r="C5" s="3">
        <v>124.7426</v>
      </c>
      <c r="D5" s="3">
        <v>18.934899999999999</v>
      </c>
      <c r="E5" s="3">
        <v>107.68343400000001</v>
      </c>
      <c r="F5" s="3">
        <v>109.06508599999999</v>
      </c>
      <c r="G5" s="3">
        <v>124.5</v>
      </c>
      <c r="H5" s="3">
        <v>115.18343400000001</v>
      </c>
      <c r="I5" s="3">
        <v>124.5</v>
      </c>
      <c r="J5" s="3">
        <v>124.5</v>
      </c>
      <c r="K5" s="3">
        <v>67.5</v>
      </c>
      <c r="L5" s="3">
        <v>123.47041299999999</v>
      </c>
      <c r="M5" s="3">
        <v>124.5</v>
      </c>
      <c r="N5" s="3">
        <v>124.5</v>
      </c>
      <c r="O5" s="3">
        <v>67.5</v>
      </c>
      <c r="P5" s="3">
        <v>111</v>
      </c>
      <c r="Q5" s="3">
        <v>100</v>
      </c>
      <c r="R5" s="3">
        <v>120.462219</v>
      </c>
    </row>
    <row r="6" spans="2:18" x14ac:dyDescent="0.25">
      <c r="B6" s="3" t="s">
        <v>16</v>
      </c>
      <c r="C6" s="3">
        <v>115.64060000000001</v>
      </c>
      <c r="D6" s="3">
        <v>0</v>
      </c>
      <c r="E6" s="3">
        <v>102.816406</v>
      </c>
      <c r="F6" s="3">
        <v>107.378906</v>
      </c>
      <c r="G6" s="3">
        <v>114.5</v>
      </c>
      <c r="H6" s="3">
        <v>110.535156</v>
      </c>
      <c r="I6" s="3">
        <v>117.535156</v>
      </c>
      <c r="J6" s="3">
        <v>114.5</v>
      </c>
      <c r="K6" s="3">
        <v>42</v>
      </c>
      <c r="L6" s="3">
        <v>118.535156</v>
      </c>
      <c r="M6" s="3">
        <v>117.140625</v>
      </c>
      <c r="N6" s="3">
        <v>117.140625</v>
      </c>
      <c r="O6" s="3">
        <v>47.035156000000001</v>
      </c>
      <c r="P6" s="3">
        <v>96.5</v>
      </c>
      <c r="Q6" s="3">
        <v>100.5</v>
      </c>
      <c r="R6" s="3">
        <v>176.39510000000001</v>
      </c>
    </row>
    <row r="7" spans="2:18" x14ac:dyDescent="0.25">
      <c r="B7" s="3" t="s">
        <v>17</v>
      </c>
      <c r="C7" s="3">
        <v>169.56649999999999</v>
      </c>
      <c r="D7" s="3">
        <v>34.8033</v>
      </c>
      <c r="E7" s="3">
        <v>133.41551200000001</v>
      </c>
      <c r="F7" s="3">
        <v>135.34626800000001</v>
      </c>
      <c r="G7" s="3">
        <v>168.56648300000001</v>
      </c>
      <c r="H7" s="3">
        <v>159.26593</v>
      </c>
      <c r="I7" s="3">
        <v>168.06648300000001</v>
      </c>
      <c r="J7" s="3">
        <v>168.56648300000001</v>
      </c>
      <c r="K7" s="3">
        <v>69.415512000000007</v>
      </c>
      <c r="L7" s="3">
        <v>168.56648300000001</v>
      </c>
      <c r="M7" s="3">
        <v>168.06648300000001</v>
      </c>
      <c r="N7" s="3">
        <v>164.14958200000001</v>
      </c>
      <c r="O7" s="3">
        <v>69.415512000000007</v>
      </c>
      <c r="P7" s="3">
        <v>70.5</v>
      </c>
      <c r="Q7" s="3">
        <v>112</v>
      </c>
      <c r="R7" s="3">
        <v>124.7426</v>
      </c>
    </row>
    <row r="8" spans="2:18" x14ac:dyDescent="0.25">
      <c r="B8" s="3" t="s">
        <v>18</v>
      </c>
      <c r="C8" s="3">
        <v>105</v>
      </c>
      <c r="D8" s="3">
        <v>0</v>
      </c>
      <c r="E8" s="3">
        <v>86.583336000000003</v>
      </c>
      <c r="F8" s="3">
        <v>102.083336</v>
      </c>
      <c r="G8" s="3">
        <v>103.5</v>
      </c>
      <c r="H8" s="3">
        <v>96.5</v>
      </c>
      <c r="I8" s="3">
        <v>104.5</v>
      </c>
      <c r="J8" s="3">
        <v>102</v>
      </c>
      <c r="K8" s="3">
        <v>39</v>
      </c>
      <c r="L8" s="3">
        <v>105</v>
      </c>
      <c r="M8" s="3">
        <v>104.5</v>
      </c>
      <c r="N8" s="3">
        <v>104.5</v>
      </c>
      <c r="O8" s="3">
        <v>44.5</v>
      </c>
      <c r="P8" s="3">
        <v>93.5</v>
      </c>
      <c r="Q8" s="3">
        <v>93</v>
      </c>
      <c r="R8" s="3">
        <v>118.535156</v>
      </c>
    </row>
    <row r="9" spans="2:18" x14ac:dyDescent="0.25">
      <c r="B9" s="3" t="s">
        <v>19</v>
      </c>
      <c r="C9" s="3">
        <v>135.75620000000001</v>
      </c>
      <c r="D9" s="3">
        <v>0</v>
      </c>
      <c r="E9" s="3">
        <v>103.826447</v>
      </c>
      <c r="F9" s="3">
        <v>113.851242</v>
      </c>
      <c r="G9" s="3">
        <v>130.75619499999999</v>
      </c>
      <c r="H9" s="3">
        <v>121.75619500000001</v>
      </c>
      <c r="I9" s="3">
        <v>135.25619499999999</v>
      </c>
      <c r="J9" s="3">
        <v>132.75619499999999</v>
      </c>
      <c r="K9" s="3">
        <v>72.256195000000005</v>
      </c>
      <c r="L9" s="3">
        <v>133.75619499999999</v>
      </c>
      <c r="M9" s="3">
        <v>131.25619499999999</v>
      </c>
      <c r="N9" s="3">
        <v>135.25619499999999</v>
      </c>
      <c r="O9" s="3">
        <v>74.326447000000002</v>
      </c>
      <c r="P9" s="3">
        <v>86</v>
      </c>
      <c r="Q9" s="3">
        <v>96.5</v>
      </c>
      <c r="R9" s="3">
        <v>169.56649999999999</v>
      </c>
    </row>
    <row r="10" spans="2:18" x14ac:dyDescent="0.25">
      <c r="B10" s="3" t="s">
        <v>20</v>
      </c>
      <c r="C10" s="3">
        <v>123.235</v>
      </c>
      <c r="D10" s="3">
        <v>0</v>
      </c>
      <c r="E10" s="3">
        <v>116.94000200000001</v>
      </c>
      <c r="F10" s="3">
        <v>115.114998</v>
      </c>
      <c r="G10" s="3">
        <v>121.44000200000001</v>
      </c>
      <c r="H10" s="3">
        <v>121.235001</v>
      </c>
      <c r="I10" s="3">
        <v>121.44000200000001</v>
      </c>
      <c r="J10" s="3">
        <v>122.735001</v>
      </c>
      <c r="K10" s="3">
        <v>43.5</v>
      </c>
      <c r="L10" s="3">
        <v>121.44000200000001</v>
      </c>
      <c r="M10" s="3">
        <v>123.235001</v>
      </c>
      <c r="N10" s="3">
        <v>123.235001</v>
      </c>
      <c r="O10" s="3">
        <v>72.5</v>
      </c>
      <c r="P10" s="3">
        <v>59.5</v>
      </c>
      <c r="Q10" s="3">
        <v>93.5</v>
      </c>
      <c r="R10" s="3">
        <v>105</v>
      </c>
    </row>
    <row r="11" spans="2:18" x14ac:dyDescent="0.25">
      <c r="B11" s="3" t="s">
        <v>21</v>
      </c>
      <c r="C11" s="3">
        <v>141.47219999999999</v>
      </c>
      <c r="D11" s="3">
        <v>0</v>
      </c>
      <c r="E11" s="3">
        <v>128.38888499999999</v>
      </c>
      <c r="F11" s="3">
        <v>23.638888999999999</v>
      </c>
      <c r="G11" s="3">
        <v>134.88888499999999</v>
      </c>
      <c r="H11" s="3">
        <v>128.5</v>
      </c>
      <c r="I11" s="3">
        <v>135.38888499999999</v>
      </c>
      <c r="J11" s="3">
        <v>137.972229</v>
      </c>
      <c r="K11" s="3">
        <v>67.5</v>
      </c>
      <c r="L11" s="3">
        <v>141.972229</v>
      </c>
      <c r="M11" s="3">
        <v>140.472229</v>
      </c>
      <c r="N11" s="3">
        <v>140.472229</v>
      </c>
      <c r="O11" s="3">
        <v>76.5</v>
      </c>
      <c r="P11" s="3">
        <v>122</v>
      </c>
      <c r="Q11" s="3">
        <v>114.5</v>
      </c>
      <c r="R11" s="3">
        <v>135.75620000000001</v>
      </c>
    </row>
    <row r="12" spans="2:18" x14ac:dyDescent="0.25">
      <c r="B12" s="3" t="s">
        <v>22</v>
      </c>
      <c r="C12" s="3">
        <v>29.289899999999999</v>
      </c>
      <c r="D12" s="3">
        <v>12.2485</v>
      </c>
      <c r="E12" s="3">
        <v>13.06213</v>
      </c>
      <c r="F12" s="3">
        <v>18.639053000000001</v>
      </c>
      <c r="G12" s="3">
        <v>28.402367000000002</v>
      </c>
      <c r="H12" s="3">
        <v>28.402367000000002</v>
      </c>
      <c r="I12" s="3">
        <v>29.289940000000001</v>
      </c>
      <c r="J12" s="3">
        <v>28.402367000000002</v>
      </c>
      <c r="K12" s="3">
        <v>0</v>
      </c>
      <c r="L12" s="3">
        <v>28.789940000000001</v>
      </c>
      <c r="M12" s="3">
        <v>28.789940000000001</v>
      </c>
      <c r="N12" s="3">
        <v>28.402367000000002</v>
      </c>
      <c r="O12" s="3">
        <v>0</v>
      </c>
      <c r="P12" s="3">
        <v>16.5</v>
      </c>
      <c r="Q12" s="3">
        <v>12</v>
      </c>
      <c r="R12" s="3">
        <v>123.235001</v>
      </c>
    </row>
    <row r="13" spans="2:18" x14ac:dyDescent="0.25">
      <c r="B13" s="3" t="s">
        <v>23</v>
      </c>
      <c r="C13" s="3">
        <v>48.5</v>
      </c>
      <c r="D13" s="3">
        <v>23.754999999999999</v>
      </c>
      <c r="E13" s="3">
        <v>44.5</v>
      </c>
      <c r="F13" s="3">
        <v>47.510204000000002</v>
      </c>
      <c r="G13" s="3">
        <v>48.5</v>
      </c>
      <c r="H13" s="3">
        <v>48.5</v>
      </c>
      <c r="I13" s="3">
        <v>48.5</v>
      </c>
      <c r="J13" s="3">
        <v>48.5</v>
      </c>
      <c r="K13" s="3">
        <v>0</v>
      </c>
      <c r="L13" s="3">
        <v>48.5</v>
      </c>
      <c r="M13" s="3">
        <v>48.5</v>
      </c>
      <c r="N13" s="3">
        <v>48.5</v>
      </c>
      <c r="O13" s="3">
        <v>0</v>
      </c>
      <c r="P13" s="3">
        <v>44</v>
      </c>
      <c r="Q13" s="3">
        <v>48.5</v>
      </c>
      <c r="R13" s="3">
        <v>141.972229</v>
      </c>
    </row>
    <row r="14" spans="2:18" x14ac:dyDescent="0.25">
      <c r="B14" s="3" t="s">
        <v>24</v>
      </c>
      <c r="C14" s="3">
        <v>67.5</v>
      </c>
      <c r="D14" s="3">
        <v>15.8203</v>
      </c>
      <c r="E14" s="3">
        <v>65</v>
      </c>
      <c r="F14" s="3">
        <v>66.445312999999999</v>
      </c>
      <c r="G14" s="3">
        <v>67.5</v>
      </c>
      <c r="H14" s="3">
        <v>65.5</v>
      </c>
      <c r="I14" s="3">
        <v>67.5</v>
      </c>
      <c r="J14" s="3">
        <v>67.5</v>
      </c>
      <c r="K14" s="3">
        <v>0</v>
      </c>
      <c r="L14" s="3">
        <v>67.5</v>
      </c>
      <c r="M14" s="3">
        <v>67.5</v>
      </c>
      <c r="N14" s="3">
        <v>66.5</v>
      </c>
      <c r="O14" s="3">
        <v>0</v>
      </c>
      <c r="P14" s="3">
        <v>59</v>
      </c>
      <c r="Q14" s="3">
        <v>66</v>
      </c>
      <c r="R14" s="3">
        <v>29.289940000000001</v>
      </c>
    </row>
    <row r="15" spans="2:18" x14ac:dyDescent="0.25">
      <c r="B15" s="3" t="s">
        <v>25</v>
      </c>
      <c r="C15" s="3">
        <v>35.5</v>
      </c>
      <c r="D15" s="3">
        <v>16.1875</v>
      </c>
      <c r="E15" s="3">
        <v>35.5</v>
      </c>
      <c r="F15" s="3">
        <v>8.671875</v>
      </c>
      <c r="G15" s="3">
        <v>35.5</v>
      </c>
      <c r="H15" s="3">
        <v>34.921875</v>
      </c>
      <c r="I15" s="3">
        <v>35.5</v>
      </c>
      <c r="J15" s="3">
        <v>35.5</v>
      </c>
      <c r="K15" s="3">
        <v>0</v>
      </c>
      <c r="L15" s="3">
        <v>35.5</v>
      </c>
      <c r="M15" s="3">
        <v>35.5</v>
      </c>
      <c r="N15" s="3">
        <v>35.5</v>
      </c>
      <c r="O15" s="3">
        <v>0</v>
      </c>
      <c r="P15" s="3">
        <v>35</v>
      </c>
      <c r="Q15" s="3">
        <v>24</v>
      </c>
      <c r="R15" s="3">
        <v>48.5</v>
      </c>
    </row>
    <row r="16" spans="2:18" x14ac:dyDescent="0.25">
      <c r="B16" s="3" t="s">
        <v>26</v>
      </c>
      <c r="C16" s="3">
        <v>51.357999999999997</v>
      </c>
      <c r="D16" s="3">
        <v>0</v>
      </c>
      <c r="E16" s="3">
        <v>40.432098000000003</v>
      </c>
      <c r="F16" s="3">
        <v>49.432098000000003</v>
      </c>
      <c r="G16" s="3">
        <v>49.432098000000003</v>
      </c>
      <c r="H16" s="3">
        <v>46.5</v>
      </c>
      <c r="I16" s="3">
        <v>50.358024999999998</v>
      </c>
      <c r="J16" s="3">
        <v>51.358024999999998</v>
      </c>
      <c r="K16" s="3">
        <v>0</v>
      </c>
      <c r="L16" s="3">
        <v>51.358024999999998</v>
      </c>
      <c r="M16" s="3">
        <v>50.358024999999998</v>
      </c>
      <c r="N16" s="3">
        <v>50.358024999999998</v>
      </c>
      <c r="O16" s="3">
        <v>0</v>
      </c>
      <c r="P16" s="3">
        <v>27.5</v>
      </c>
      <c r="Q16" s="3">
        <v>45.5</v>
      </c>
      <c r="R16" s="3">
        <v>67.5</v>
      </c>
    </row>
    <row r="17" spans="2:18" x14ac:dyDescent="0.25">
      <c r="B17" s="3" t="s">
        <v>27</v>
      </c>
      <c r="C17" s="3">
        <v>52</v>
      </c>
      <c r="D17" s="3">
        <v>18.72</v>
      </c>
      <c r="E17" s="3">
        <v>48.5</v>
      </c>
      <c r="F17" s="3">
        <v>52</v>
      </c>
      <c r="G17" s="3">
        <v>52</v>
      </c>
      <c r="H17" s="3">
        <v>52</v>
      </c>
      <c r="I17" s="3">
        <v>52</v>
      </c>
      <c r="J17" s="3">
        <v>52</v>
      </c>
      <c r="K17" s="3">
        <v>0</v>
      </c>
      <c r="L17" s="3">
        <v>52</v>
      </c>
      <c r="M17" s="3">
        <v>52</v>
      </c>
      <c r="N17" s="3">
        <v>52</v>
      </c>
      <c r="O17" s="3">
        <v>0</v>
      </c>
      <c r="P17" s="3">
        <v>46.5</v>
      </c>
      <c r="Q17" s="3">
        <v>48.5</v>
      </c>
      <c r="R17" s="3">
        <v>35.5</v>
      </c>
    </row>
    <row r="18" spans="2:18" x14ac:dyDescent="0.25">
      <c r="B18" s="3" t="s">
        <v>28</v>
      </c>
      <c r="C18" s="3">
        <v>70</v>
      </c>
      <c r="D18" s="3">
        <v>0</v>
      </c>
      <c r="E18" s="3">
        <v>58.5</v>
      </c>
      <c r="F18" s="3">
        <v>0</v>
      </c>
      <c r="G18" s="3">
        <v>70</v>
      </c>
      <c r="H18" s="3">
        <v>69.5</v>
      </c>
      <c r="I18" s="3">
        <v>70</v>
      </c>
      <c r="J18" s="3">
        <v>69.5</v>
      </c>
      <c r="K18" s="3">
        <v>0</v>
      </c>
      <c r="L18" s="3">
        <v>70</v>
      </c>
      <c r="M18" s="3">
        <v>70</v>
      </c>
      <c r="N18" s="3">
        <v>69.5</v>
      </c>
      <c r="O18" s="3">
        <v>0</v>
      </c>
      <c r="P18" s="3">
        <v>29.5</v>
      </c>
      <c r="Q18" s="3">
        <v>52.5</v>
      </c>
      <c r="R18" s="3">
        <v>51.358024999999998</v>
      </c>
    </row>
    <row r="19" spans="2:18" x14ac:dyDescent="0.25">
      <c r="B19" s="3" t="s">
        <v>29</v>
      </c>
      <c r="C19" s="3">
        <v>61</v>
      </c>
      <c r="D19" s="3">
        <v>0</v>
      </c>
      <c r="E19" s="3">
        <v>57</v>
      </c>
      <c r="F19" s="3">
        <v>61</v>
      </c>
      <c r="G19" s="3">
        <v>61</v>
      </c>
      <c r="H19" s="3">
        <v>61</v>
      </c>
      <c r="I19" s="3">
        <v>61</v>
      </c>
      <c r="J19" s="3">
        <v>61</v>
      </c>
      <c r="K19" s="3">
        <v>0</v>
      </c>
      <c r="L19" s="3">
        <v>61</v>
      </c>
      <c r="M19" s="3">
        <v>61</v>
      </c>
      <c r="N19" s="3">
        <v>61</v>
      </c>
      <c r="O19" s="3">
        <v>0</v>
      </c>
      <c r="P19" s="3">
        <v>52</v>
      </c>
      <c r="Q19" s="3">
        <v>60</v>
      </c>
      <c r="R19" s="3">
        <v>52</v>
      </c>
    </row>
    <row r="20" spans="2:18" x14ac:dyDescent="0.25">
      <c r="B20" s="3" t="s">
        <v>30</v>
      </c>
      <c r="C20" s="3">
        <v>22.5</v>
      </c>
      <c r="D20" s="3">
        <v>22.5</v>
      </c>
      <c r="E20" s="3">
        <v>21</v>
      </c>
      <c r="F20" s="3">
        <v>22.5</v>
      </c>
      <c r="G20" s="3">
        <v>22.5</v>
      </c>
      <c r="H20" s="3">
        <v>22</v>
      </c>
      <c r="I20" s="3">
        <v>22.5</v>
      </c>
      <c r="J20" s="3">
        <v>22.5</v>
      </c>
      <c r="K20" s="3">
        <v>0</v>
      </c>
      <c r="L20" s="3">
        <v>22.5</v>
      </c>
      <c r="M20" s="3">
        <v>22.5</v>
      </c>
      <c r="N20" s="3">
        <v>22.5</v>
      </c>
      <c r="O20" s="3">
        <v>0</v>
      </c>
      <c r="P20" s="3">
        <v>19.5</v>
      </c>
      <c r="Q20" s="3">
        <v>22.5</v>
      </c>
      <c r="R20" s="3">
        <v>70</v>
      </c>
    </row>
    <row r="21" spans="2:18" x14ac:dyDescent="0.25">
      <c r="B21" s="3" t="s">
        <v>311</v>
      </c>
      <c r="C21" s="3">
        <v>0</v>
      </c>
      <c r="D21" s="3">
        <v>0</v>
      </c>
      <c r="E21" s="3">
        <v>349.16449</v>
      </c>
      <c r="F21" s="3">
        <v>262.50149499999998</v>
      </c>
      <c r="G21" s="3">
        <v>426.45599399999998</v>
      </c>
      <c r="H21" s="3">
        <v>415.45599399999998</v>
      </c>
      <c r="I21" s="3">
        <v>427.37536599999999</v>
      </c>
      <c r="J21" s="3">
        <v>425.36437999999998</v>
      </c>
      <c r="K21" s="3">
        <v>380.12255900000002</v>
      </c>
      <c r="L21" s="3">
        <v>414.45599399999998</v>
      </c>
      <c r="M21" s="3">
        <v>416.95599399999998</v>
      </c>
      <c r="N21" s="3">
        <v>405.87536599999999</v>
      </c>
      <c r="O21" s="3">
        <v>390.19751000000002</v>
      </c>
      <c r="P21" s="3">
        <v>277.40008499999999</v>
      </c>
      <c r="Q21" s="3">
        <v>385.12255900000002</v>
      </c>
      <c r="R21" s="3">
        <v>61</v>
      </c>
    </row>
    <row r="22" spans="2:18" x14ac:dyDescent="0.25">
      <c r="B22" s="3" t="s">
        <v>31</v>
      </c>
      <c r="C22" s="3">
        <v>276.53399999999999</v>
      </c>
      <c r="D22" s="3">
        <v>0</v>
      </c>
      <c r="E22" s="3">
        <v>253.42816199999999</v>
      </c>
      <c r="F22" s="3">
        <v>149.489609</v>
      </c>
      <c r="G22" s="3">
        <v>296.07656900000001</v>
      </c>
      <c r="H22" s="3">
        <v>281.53402699999998</v>
      </c>
      <c r="I22" s="3">
        <v>284.57656900000001</v>
      </c>
      <c r="J22" s="3">
        <v>294.57656900000001</v>
      </c>
      <c r="K22" s="3">
        <v>247.5</v>
      </c>
      <c r="L22" s="3">
        <v>289.57656900000001</v>
      </c>
      <c r="M22" s="3">
        <v>280.53402699999998</v>
      </c>
      <c r="N22" s="3">
        <v>286.42816199999999</v>
      </c>
      <c r="O22" s="3">
        <v>249.37713600000001</v>
      </c>
      <c r="P22" s="3">
        <v>245</v>
      </c>
      <c r="Q22" s="3">
        <v>260</v>
      </c>
      <c r="R22" s="3">
        <v>22.5</v>
      </c>
    </row>
    <row r="23" spans="2:18" x14ac:dyDescent="0.25">
      <c r="B23" s="3" t="s">
        <v>312</v>
      </c>
      <c r="C23" s="3">
        <v>0</v>
      </c>
      <c r="D23" s="3">
        <v>0</v>
      </c>
      <c r="E23" s="3">
        <v>398.05517600000002</v>
      </c>
      <c r="F23" s="3">
        <v>246.144272</v>
      </c>
      <c r="G23" s="3">
        <v>448.44268799999998</v>
      </c>
      <c r="H23" s="3">
        <v>457.55517600000002</v>
      </c>
      <c r="I23" s="3">
        <v>452.89593500000001</v>
      </c>
      <c r="J23" s="3">
        <v>447.49963400000001</v>
      </c>
      <c r="K23" s="3">
        <v>447.47735599999999</v>
      </c>
      <c r="L23" s="3">
        <v>458.97735599999999</v>
      </c>
      <c r="M23" s="3">
        <v>454.89593500000001</v>
      </c>
      <c r="N23" s="3">
        <v>452.44268799999998</v>
      </c>
      <c r="O23" s="3">
        <v>441.23339800000002</v>
      </c>
      <c r="P23" s="3">
        <v>361.610657</v>
      </c>
      <c r="Q23" s="3">
        <v>427.44268799999998</v>
      </c>
      <c r="R23" s="3">
        <v>427.37536599999999</v>
      </c>
    </row>
    <row r="24" spans="2:18" x14ac:dyDescent="0.25">
      <c r="B24" s="3" t="s">
        <v>32</v>
      </c>
      <c r="C24" s="3">
        <v>0</v>
      </c>
      <c r="D24" s="3">
        <v>0</v>
      </c>
      <c r="E24" s="3">
        <v>365.10015900000002</v>
      </c>
      <c r="F24" s="3">
        <v>315.11630200000002</v>
      </c>
      <c r="G24" s="3">
        <v>451.96636999999998</v>
      </c>
      <c r="H24" s="3">
        <v>429.14187600000002</v>
      </c>
      <c r="I24" s="3">
        <v>458.14187600000002</v>
      </c>
      <c r="J24" s="3">
        <v>445.60015900000002</v>
      </c>
      <c r="K24" s="3">
        <v>426.61108400000001</v>
      </c>
      <c r="L24" s="3">
        <v>437.96636999999998</v>
      </c>
      <c r="M24" s="3">
        <v>428.46636999999998</v>
      </c>
      <c r="N24" s="3">
        <v>441.84411599999999</v>
      </c>
      <c r="O24" s="3">
        <v>414.14187600000002</v>
      </c>
      <c r="P24" s="3">
        <v>321.35504200000003</v>
      </c>
      <c r="Q24" s="3">
        <v>426.61108400000001</v>
      </c>
      <c r="R24" s="3">
        <v>296.07656900000001</v>
      </c>
    </row>
    <row r="25" spans="2:18" x14ac:dyDescent="0.25">
      <c r="B25" s="3" t="s">
        <v>33</v>
      </c>
      <c r="C25" s="3">
        <v>199.34379999999999</v>
      </c>
      <c r="D25" s="3">
        <v>0</v>
      </c>
      <c r="E25" s="3">
        <v>234.774902</v>
      </c>
      <c r="F25" s="3">
        <v>176.466309</v>
      </c>
      <c r="G25" s="3">
        <v>279.774902</v>
      </c>
      <c r="H25" s="3">
        <v>272.56005900000002</v>
      </c>
      <c r="I25" s="3">
        <v>289.274902</v>
      </c>
      <c r="J25" s="3">
        <v>288.274902</v>
      </c>
      <c r="K25" s="3">
        <v>239.032715</v>
      </c>
      <c r="L25" s="3">
        <v>276.274902</v>
      </c>
      <c r="M25" s="3">
        <v>269.274902</v>
      </c>
      <c r="N25" s="3">
        <v>279.03710899999999</v>
      </c>
      <c r="O25" s="3">
        <v>241.03710899999999</v>
      </c>
      <c r="P25" s="3">
        <v>137.5</v>
      </c>
      <c r="Q25" s="3">
        <v>252.69335899999999</v>
      </c>
      <c r="R25" s="3">
        <v>458.97735599999999</v>
      </c>
    </row>
    <row r="26" spans="2:18" x14ac:dyDescent="0.25">
      <c r="B26" s="3" t="s">
        <v>313</v>
      </c>
      <c r="C26" s="3">
        <v>0</v>
      </c>
      <c r="D26" s="3">
        <v>0</v>
      </c>
      <c r="E26" s="3">
        <v>375.973389</v>
      </c>
      <c r="F26" s="3">
        <v>283.688354</v>
      </c>
      <c r="G26" s="3">
        <v>444.973389</v>
      </c>
      <c r="H26" s="3">
        <v>439.92208900000003</v>
      </c>
      <c r="I26" s="3">
        <v>451.83331299999998</v>
      </c>
      <c r="J26" s="3">
        <v>452.92208900000003</v>
      </c>
      <c r="K26" s="3">
        <v>412.439819</v>
      </c>
      <c r="L26" s="3">
        <v>442.42208900000003</v>
      </c>
      <c r="M26" s="3">
        <v>443.973389</v>
      </c>
      <c r="N26" s="3">
        <v>442.73965500000003</v>
      </c>
      <c r="O26" s="3">
        <v>401.84222399999999</v>
      </c>
      <c r="P26" s="3">
        <v>317.02960200000001</v>
      </c>
      <c r="Q26" s="3">
        <v>411.84222399999999</v>
      </c>
      <c r="R26" s="3">
        <v>458.14187600000002</v>
      </c>
    </row>
    <row r="27" spans="2:18" x14ac:dyDescent="0.25">
      <c r="B27" s="3" t="s">
        <v>314</v>
      </c>
      <c r="C27" s="3">
        <v>0</v>
      </c>
      <c r="D27" s="3">
        <v>0</v>
      </c>
      <c r="E27" s="3">
        <v>419.255066</v>
      </c>
      <c r="F27" s="3">
        <v>42.055289999999999</v>
      </c>
      <c r="G27" s="3">
        <v>465.28002900000001</v>
      </c>
      <c r="H27" s="3">
        <v>462.73724399999998</v>
      </c>
      <c r="I27" s="3">
        <v>482.71881100000002</v>
      </c>
      <c r="J27" s="3">
        <v>481.71881100000002</v>
      </c>
      <c r="K27" s="3">
        <v>438.054688</v>
      </c>
      <c r="L27" s="3">
        <v>464.28002900000001</v>
      </c>
      <c r="M27" s="3">
        <v>474.73724399999998</v>
      </c>
      <c r="N27" s="3">
        <v>466.84722900000003</v>
      </c>
      <c r="O27" s="3">
        <v>449.84722900000003</v>
      </c>
      <c r="P27" s="3">
        <v>344.26220699999999</v>
      </c>
      <c r="Q27" s="3">
        <v>457.34722900000003</v>
      </c>
      <c r="R27" s="3">
        <v>289.274902</v>
      </c>
    </row>
    <row r="28" spans="2:18" x14ac:dyDescent="0.25">
      <c r="B28" s="3" t="s">
        <v>34</v>
      </c>
      <c r="C28" s="3">
        <v>0</v>
      </c>
      <c r="D28" s="3">
        <v>0</v>
      </c>
      <c r="E28" s="3">
        <v>397.75561499999998</v>
      </c>
      <c r="F28" s="3">
        <v>304.48998999999998</v>
      </c>
      <c r="G28" s="3">
        <v>469.53839099999999</v>
      </c>
      <c r="H28" s="3">
        <v>454.25561499999998</v>
      </c>
      <c r="I28" s="3">
        <v>476.09002700000002</v>
      </c>
      <c r="J28" s="3">
        <v>471.25561499999998</v>
      </c>
      <c r="K28" s="3">
        <v>439.00762900000001</v>
      </c>
      <c r="L28" s="3">
        <v>471.49761999999998</v>
      </c>
      <c r="M28" s="3">
        <v>466.66241500000001</v>
      </c>
      <c r="N28" s="3">
        <v>471.09002700000002</v>
      </c>
      <c r="O28" s="3">
        <v>443.49761999999998</v>
      </c>
      <c r="P28" s="3">
        <v>316.04162600000001</v>
      </c>
      <c r="Q28" s="3">
        <v>441.50842299999999</v>
      </c>
      <c r="R28" s="3">
        <v>452.92208900000003</v>
      </c>
    </row>
    <row r="29" spans="2:18" x14ac:dyDescent="0.25">
      <c r="B29" s="3" t="s">
        <v>315</v>
      </c>
      <c r="C29" s="3">
        <v>0</v>
      </c>
      <c r="D29" s="3">
        <v>0</v>
      </c>
      <c r="E29" s="3">
        <v>512.81481900000006</v>
      </c>
      <c r="F29" s="3">
        <v>181.66989100000001</v>
      </c>
      <c r="G29" s="3">
        <v>573.14129600000001</v>
      </c>
      <c r="H29" s="3">
        <v>562.11633300000005</v>
      </c>
      <c r="I29" s="3">
        <v>571.81481900000006</v>
      </c>
      <c r="J29" s="3">
        <v>566.47601299999997</v>
      </c>
      <c r="K29" s="3">
        <v>540.77960199999995</v>
      </c>
      <c r="L29" s="3">
        <v>567.27960199999995</v>
      </c>
      <c r="M29" s="3">
        <v>557.60461399999997</v>
      </c>
      <c r="N29" s="3">
        <v>565.81481900000006</v>
      </c>
      <c r="O29" s="3">
        <v>533.31481900000006</v>
      </c>
      <c r="P29" s="3">
        <v>428.54742399999998</v>
      </c>
      <c r="Q29" s="3">
        <v>554.70001200000002</v>
      </c>
      <c r="R29" s="3">
        <v>482.71881100000002</v>
      </c>
    </row>
    <row r="30" spans="2:18" x14ac:dyDescent="0.25">
      <c r="B30" s="3" t="s">
        <v>35</v>
      </c>
      <c r="C30" s="3">
        <v>0</v>
      </c>
      <c r="D30" s="3">
        <v>0</v>
      </c>
      <c r="E30" s="3">
        <v>285.29205300000001</v>
      </c>
      <c r="F30" s="3">
        <v>271.63540599999999</v>
      </c>
      <c r="G30" s="3">
        <v>328.00872800000002</v>
      </c>
      <c r="H30" s="3">
        <v>319.79205300000001</v>
      </c>
      <c r="I30" s="3">
        <v>328.76559400000002</v>
      </c>
      <c r="J30" s="3">
        <v>331.76559400000002</v>
      </c>
      <c r="K30" s="3">
        <v>242.243134</v>
      </c>
      <c r="L30" s="3">
        <v>323.50872800000002</v>
      </c>
      <c r="M30" s="3">
        <v>313.29205300000001</v>
      </c>
      <c r="N30" s="3">
        <v>312.00872800000002</v>
      </c>
      <c r="O30" s="3">
        <v>252.243134</v>
      </c>
      <c r="P30" s="3">
        <v>160.31781000000001</v>
      </c>
      <c r="Q30" s="3">
        <v>286.34027099999997</v>
      </c>
      <c r="R30" s="3">
        <v>476.09002700000002</v>
      </c>
    </row>
    <row r="31" spans="2:18" x14ac:dyDescent="0.25">
      <c r="B31" s="3" t="s">
        <v>36</v>
      </c>
      <c r="C31" s="3">
        <v>124.7456</v>
      </c>
      <c r="D31" s="3">
        <v>20.340199999999999</v>
      </c>
      <c r="E31" s="3">
        <v>110.482246</v>
      </c>
      <c r="F31" s="3">
        <v>85.428993000000006</v>
      </c>
      <c r="G31" s="3">
        <v>118.482246</v>
      </c>
      <c r="H31" s="3">
        <v>113.677521</v>
      </c>
      <c r="I31" s="3">
        <v>120.24556</v>
      </c>
      <c r="J31" s="3">
        <v>124.74556</v>
      </c>
      <c r="K31" s="3">
        <v>62.245559999999998</v>
      </c>
      <c r="L31" s="3">
        <v>124.24556</v>
      </c>
      <c r="M31" s="3">
        <v>118.24556</v>
      </c>
      <c r="N31" s="3">
        <v>123.74556</v>
      </c>
      <c r="O31" s="3">
        <v>71.982246000000004</v>
      </c>
      <c r="P31" s="3">
        <v>57</v>
      </c>
      <c r="Q31" s="3">
        <v>89</v>
      </c>
      <c r="R31" s="3">
        <v>573.14129600000001</v>
      </c>
    </row>
    <row r="32" spans="2:18" x14ac:dyDescent="0.25">
      <c r="B32" s="3" t="s">
        <v>37</v>
      </c>
      <c r="C32" s="3">
        <v>84.5</v>
      </c>
      <c r="D32" s="3">
        <v>20.156199999999998</v>
      </c>
      <c r="E32" s="3">
        <v>63.90625</v>
      </c>
      <c r="F32" s="3">
        <v>73.90625</v>
      </c>
      <c r="G32" s="3">
        <v>84.15625</v>
      </c>
      <c r="H32" s="3">
        <v>76</v>
      </c>
      <c r="I32" s="3">
        <v>82.65625</v>
      </c>
      <c r="J32" s="3">
        <v>84.15625</v>
      </c>
      <c r="K32" s="3">
        <v>34</v>
      </c>
      <c r="L32" s="3">
        <v>84.15625</v>
      </c>
      <c r="M32" s="3">
        <v>84.15625</v>
      </c>
      <c r="N32" s="3">
        <v>84.15625</v>
      </c>
      <c r="O32" s="3">
        <v>44.40625</v>
      </c>
      <c r="P32" s="3">
        <v>32.5</v>
      </c>
      <c r="Q32" s="3">
        <v>73</v>
      </c>
      <c r="R32" s="3">
        <v>331.76559400000002</v>
      </c>
    </row>
    <row r="33" spans="2:18" x14ac:dyDescent="0.25">
      <c r="B33" s="3" t="s">
        <v>38</v>
      </c>
      <c r="C33" s="3">
        <v>158.6799</v>
      </c>
      <c r="D33" s="3">
        <v>0</v>
      </c>
      <c r="E33" s="3">
        <v>108.59515399999999</v>
      </c>
      <c r="F33" s="3">
        <v>103.35639999999999</v>
      </c>
      <c r="G33" s="3">
        <v>165.33909600000001</v>
      </c>
      <c r="H33" s="3">
        <v>156.17993200000001</v>
      </c>
      <c r="I33" s="3">
        <v>168.83909600000001</v>
      </c>
      <c r="J33" s="3">
        <v>169.33909600000001</v>
      </c>
      <c r="K33" s="3">
        <v>74.287200999999996</v>
      </c>
      <c r="L33" s="3">
        <v>169.17993200000001</v>
      </c>
      <c r="M33" s="3">
        <v>168.57266200000001</v>
      </c>
      <c r="N33" s="3">
        <v>167.83909600000001</v>
      </c>
      <c r="O33" s="3">
        <v>98.084778</v>
      </c>
      <c r="P33" s="3">
        <v>36</v>
      </c>
      <c r="Q33" s="3">
        <v>105</v>
      </c>
      <c r="R33" s="3">
        <v>124.7456</v>
      </c>
    </row>
    <row r="34" spans="2:18" x14ac:dyDescent="0.25">
      <c r="B34" s="3" t="s">
        <v>39</v>
      </c>
      <c r="C34" s="3">
        <v>181.86510000000001</v>
      </c>
      <c r="D34" s="3">
        <v>8.9530999999999992</v>
      </c>
      <c r="E34" s="3">
        <v>148.62629699999999</v>
      </c>
      <c r="F34" s="3">
        <v>160.64186100000001</v>
      </c>
      <c r="G34" s="3">
        <v>182.86505099999999</v>
      </c>
      <c r="H34" s="3">
        <v>174.460205</v>
      </c>
      <c r="I34" s="3">
        <v>182.86505099999999</v>
      </c>
      <c r="J34" s="3">
        <v>178.460205</v>
      </c>
      <c r="K34" s="3">
        <v>53.5</v>
      </c>
      <c r="L34" s="3">
        <v>182.86505099999999</v>
      </c>
      <c r="M34" s="3">
        <v>180.460205</v>
      </c>
      <c r="N34" s="3">
        <v>178.960205</v>
      </c>
      <c r="O34" s="3">
        <v>67.5</v>
      </c>
      <c r="P34" s="3">
        <v>163</v>
      </c>
      <c r="Q34" s="3">
        <v>169</v>
      </c>
      <c r="R34" s="3">
        <v>84.5</v>
      </c>
    </row>
    <row r="35" spans="2:18" x14ac:dyDescent="0.25">
      <c r="B35" s="3" t="s">
        <v>40</v>
      </c>
      <c r="C35" s="3">
        <v>111.95869999999999</v>
      </c>
      <c r="D35" s="3">
        <v>0</v>
      </c>
      <c r="E35" s="3">
        <v>89.628097999999994</v>
      </c>
      <c r="F35" s="3">
        <v>74.975204000000005</v>
      </c>
      <c r="G35" s="3">
        <v>113.334709</v>
      </c>
      <c r="H35" s="3">
        <v>105.958679</v>
      </c>
      <c r="I35" s="3">
        <v>113.834709</v>
      </c>
      <c r="J35" s="3">
        <v>109.334709</v>
      </c>
      <c r="K35" s="3">
        <v>36.834708999999997</v>
      </c>
      <c r="L35" s="3">
        <v>113.834709</v>
      </c>
      <c r="M35" s="3">
        <v>109.334709</v>
      </c>
      <c r="N35" s="3">
        <v>109.834709</v>
      </c>
      <c r="O35" s="3">
        <v>36.834708999999997</v>
      </c>
      <c r="P35" s="3">
        <v>67</v>
      </c>
      <c r="Q35" s="3">
        <v>60</v>
      </c>
      <c r="R35" s="3">
        <v>169.33909600000001</v>
      </c>
    </row>
    <row r="36" spans="2:18" x14ac:dyDescent="0.25">
      <c r="B36" s="3" t="s">
        <v>41</v>
      </c>
      <c r="C36" s="3">
        <v>178.7654</v>
      </c>
      <c r="D36" s="3">
        <v>71.506200000000007</v>
      </c>
      <c r="E36" s="3">
        <v>152.533951</v>
      </c>
      <c r="F36" s="3">
        <v>175.972229</v>
      </c>
      <c r="G36" s="3">
        <v>175.972229</v>
      </c>
      <c r="H36" s="3">
        <v>170.472229</v>
      </c>
      <c r="I36" s="3">
        <v>178.76542699999999</v>
      </c>
      <c r="J36" s="3">
        <v>174.26542699999999</v>
      </c>
      <c r="K36" s="3">
        <v>92.033951000000002</v>
      </c>
      <c r="L36" s="3">
        <v>176.76542699999999</v>
      </c>
      <c r="M36" s="3">
        <v>175.972229</v>
      </c>
      <c r="N36" s="3">
        <v>173.76542699999999</v>
      </c>
      <c r="O36" s="3">
        <v>92.033951000000002</v>
      </c>
      <c r="P36" s="3">
        <v>104.5</v>
      </c>
      <c r="Q36" s="3">
        <v>173</v>
      </c>
      <c r="R36" s="3">
        <v>182.86505099999999</v>
      </c>
    </row>
    <row r="37" spans="2:18" x14ac:dyDescent="0.25">
      <c r="B37" s="3" t="s">
        <v>42</v>
      </c>
      <c r="C37" s="3">
        <v>190.5</v>
      </c>
      <c r="D37" s="3">
        <v>0</v>
      </c>
      <c r="E37" s="3">
        <v>179.5</v>
      </c>
      <c r="F37" s="3">
        <v>181.875</v>
      </c>
      <c r="G37" s="3">
        <v>185.5</v>
      </c>
      <c r="H37" s="3">
        <v>184</v>
      </c>
      <c r="I37" s="3">
        <v>188.5</v>
      </c>
      <c r="J37" s="3">
        <v>188.5</v>
      </c>
      <c r="K37" s="3">
        <v>88.5</v>
      </c>
      <c r="L37" s="3">
        <v>184</v>
      </c>
      <c r="M37" s="3">
        <v>189</v>
      </c>
      <c r="N37" s="3">
        <v>187</v>
      </c>
      <c r="O37" s="3">
        <v>88.5</v>
      </c>
      <c r="P37" s="3">
        <v>107</v>
      </c>
      <c r="Q37" s="3">
        <v>183</v>
      </c>
      <c r="R37" s="3">
        <v>113.834709</v>
      </c>
    </row>
    <row r="38" spans="2:18" x14ac:dyDescent="0.25">
      <c r="B38" s="3" t="s">
        <v>43</v>
      </c>
      <c r="C38" s="3">
        <v>237.2372</v>
      </c>
      <c r="D38" s="3">
        <v>0</v>
      </c>
      <c r="E38" s="3">
        <v>192.79591400000001</v>
      </c>
      <c r="F38" s="3">
        <v>215.93112199999999</v>
      </c>
      <c r="G38" s="3">
        <v>239.737244</v>
      </c>
      <c r="H38" s="3">
        <v>216.237244</v>
      </c>
      <c r="I38" s="3">
        <v>234.13520800000001</v>
      </c>
      <c r="J38" s="3">
        <v>238.737244</v>
      </c>
      <c r="K38" s="3">
        <v>142.94897499999999</v>
      </c>
      <c r="L38" s="3">
        <v>234.94897499999999</v>
      </c>
      <c r="M38" s="3">
        <v>228.44897499999999</v>
      </c>
      <c r="N38" s="3">
        <v>228.44897499999999</v>
      </c>
      <c r="O38" s="3">
        <v>146.94897499999999</v>
      </c>
      <c r="P38" s="3">
        <v>101.5</v>
      </c>
      <c r="Q38" s="3">
        <v>188</v>
      </c>
      <c r="R38" s="3">
        <v>178.76542699999999</v>
      </c>
    </row>
    <row r="39" spans="2:18" x14ac:dyDescent="0.25">
      <c r="B39" s="3" t="s">
        <v>44</v>
      </c>
      <c r="C39" s="3">
        <v>191.5</v>
      </c>
      <c r="D39" s="3">
        <v>0</v>
      </c>
      <c r="E39" s="3">
        <v>188.5</v>
      </c>
      <c r="F39" s="3">
        <v>191.5</v>
      </c>
      <c r="G39" s="3">
        <v>191.5</v>
      </c>
      <c r="H39" s="3">
        <v>180</v>
      </c>
      <c r="I39" s="3">
        <v>191.5</v>
      </c>
      <c r="J39" s="3">
        <v>191.5</v>
      </c>
      <c r="K39" s="3">
        <v>101</v>
      </c>
      <c r="L39" s="3">
        <v>191.5</v>
      </c>
      <c r="M39" s="3">
        <v>191.5</v>
      </c>
      <c r="N39" s="3">
        <v>191.5</v>
      </c>
      <c r="O39" s="3">
        <v>131.5</v>
      </c>
      <c r="P39" s="3">
        <v>191</v>
      </c>
      <c r="Q39" s="3">
        <v>191.5</v>
      </c>
      <c r="R39" s="3">
        <v>190.5</v>
      </c>
    </row>
    <row r="40" spans="2:18" x14ac:dyDescent="0.25">
      <c r="B40" s="3" t="s">
        <v>45</v>
      </c>
      <c r="C40" s="3">
        <v>113</v>
      </c>
      <c r="D40" s="3">
        <v>0</v>
      </c>
      <c r="E40" s="3">
        <v>86.561226000000005</v>
      </c>
      <c r="F40" s="3">
        <v>89.625</v>
      </c>
      <c r="G40" s="3">
        <v>115.561226</v>
      </c>
      <c r="H40" s="3">
        <v>108.561226</v>
      </c>
      <c r="I40" s="3">
        <v>114.061226</v>
      </c>
      <c r="J40" s="3">
        <v>114.890305</v>
      </c>
      <c r="K40" s="3">
        <v>45</v>
      </c>
      <c r="L40" s="3">
        <v>116.061226</v>
      </c>
      <c r="M40" s="3">
        <v>114.561226</v>
      </c>
      <c r="N40" s="3">
        <v>112.561226</v>
      </c>
      <c r="O40" s="3">
        <v>50.012756000000003</v>
      </c>
      <c r="P40" s="3">
        <v>20.5</v>
      </c>
      <c r="Q40" s="3">
        <v>96.5</v>
      </c>
      <c r="R40" s="3">
        <v>239.737244</v>
      </c>
    </row>
    <row r="41" spans="2:18" x14ac:dyDescent="0.25">
      <c r="B41" s="3" t="s">
        <v>46</v>
      </c>
      <c r="C41" s="3">
        <v>51.5</v>
      </c>
      <c r="D41" s="3">
        <v>0</v>
      </c>
      <c r="E41" s="3">
        <v>51.5</v>
      </c>
      <c r="F41" s="3">
        <v>0</v>
      </c>
      <c r="G41" s="3">
        <v>51.5</v>
      </c>
      <c r="H41" s="3">
        <v>51.5</v>
      </c>
      <c r="I41" s="3">
        <v>51.5</v>
      </c>
      <c r="J41" s="3">
        <v>51.5</v>
      </c>
      <c r="K41" s="3">
        <v>0</v>
      </c>
      <c r="L41" s="3">
        <v>51.5</v>
      </c>
      <c r="M41" s="3">
        <v>51.5</v>
      </c>
      <c r="N41" s="3">
        <v>51.5</v>
      </c>
      <c r="O41" s="3">
        <v>0</v>
      </c>
      <c r="P41" s="3">
        <v>51.5</v>
      </c>
      <c r="Q41" s="3">
        <v>51.5</v>
      </c>
      <c r="R41" s="3">
        <v>191.5</v>
      </c>
    </row>
    <row r="42" spans="2:18" x14ac:dyDescent="0.25">
      <c r="B42" s="3" t="s">
        <v>47</v>
      </c>
      <c r="C42" s="3">
        <v>72</v>
      </c>
      <c r="D42" s="3">
        <v>72</v>
      </c>
      <c r="E42" s="3">
        <v>72</v>
      </c>
      <c r="F42" s="3">
        <v>72</v>
      </c>
      <c r="G42" s="3">
        <v>72</v>
      </c>
      <c r="H42" s="3">
        <v>71</v>
      </c>
      <c r="I42" s="3">
        <v>72</v>
      </c>
      <c r="J42" s="3">
        <v>72</v>
      </c>
      <c r="K42" s="3">
        <v>0</v>
      </c>
      <c r="L42" s="3">
        <v>72</v>
      </c>
      <c r="M42" s="3">
        <v>72</v>
      </c>
      <c r="N42" s="3">
        <v>72</v>
      </c>
      <c r="O42" s="3">
        <v>0</v>
      </c>
      <c r="P42" s="3">
        <v>69.5</v>
      </c>
      <c r="Q42" s="3">
        <v>72</v>
      </c>
      <c r="R42" s="3">
        <v>116.061226</v>
      </c>
    </row>
    <row r="43" spans="2:18" x14ac:dyDescent="0.25">
      <c r="B43" s="3" t="s">
        <v>48</v>
      </c>
      <c r="C43" s="3">
        <v>106.5</v>
      </c>
      <c r="D43" s="3">
        <v>0</v>
      </c>
      <c r="E43" s="3">
        <v>100.289063</v>
      </c>
      <c r="F43" s="3">
        <v>25.664062999999999</v>
      </c>
      <c r="G43" s="3">
        <v>106.5</v>
      </c>
      <c r="H43" s="3">
        <v>95.289062999999999</v>
      </c>
      <c r="I43" s="3">
        <v>106.5</v>
      </c>
      <c r="J43" s="3">
        <v>100.5</v>
      </c>
      <c r="K43" s="3">
        <v>0</v>
      </c>
      <c r="L43" s="3">
        <v>106.5</v>
      </c>
      <c r="M43" s="3">
        <v>104.5</v>
      </c>
      <c r="N43" s="3">
        <v>106.789063</v>
      </c>
      <c r="O43" s="3">
        <v>0</v>
      </c>
      <c r="P43" s="3">
        <v>82.5</v>
      </c>
      <c r="Q43" s="3">
        <v>89.5</v>
      </c>
      <c r="R43" s="3">
        <v>51.5</v>
      </c>
    </row>
    <row r="44" spans="2:18" x14ac:dyDescent="0.25">
      <c r="B44" s="3" t="s">
        <v>49</v>
      </c>
      <c r="C44" s="3">
        <v>41.5</v>
      </c>
      <c r="D44" s="3">
        <v>0</v>
      </c>
      <c r="E44" s="3">
        <v>41.5</v>
      </c>
      <c r="F44" s="3">
        <v>41.5</v>
      </c>
      <c r="G44" s="3">
        <v>41.5</v>
      </c>
      <c r="H44" s="3">
        <v>41</v>
      </c>
      <c r="I44" s="3">
        <v>41.5</v>
      </c>
      <c r="J44" s="3">
        <v>41.5</v>
      </c>
      <c r="K44" s="3">
        <v>0</v>
      </c>
      <c r="L44" s="3">
        <v>41.5</v>
      </c>
      <c r="M44" s="3">
        <v>41.5</v>
      </c>
      <c r="N44" s="3">
        <v>41.5</v>
      </c>
      <c r="O44" s="3">
        <v>0</v>
      </c>
      <c r="P44" s="3">
        <v>41</v>
      </c>
      <c r="Q44" s="3">
        <v>41.5</v>
      </c>
      <c r="R44" s="3">
        <v>72</v>
      </c>
    </row>
    <row r="45" spans="2:18" x14ac:dyDescent="0.25">
      <c r="B45" s="3" t="s">
        <v>50</v>
      </c>
      <c r="C45" s="3">
        <v>69</v>
      </c>
      <c r="D45" s="3">
        <v>0</v>
      </c>
      <c r="E45" s="3">
        <v>65</v>
      </c>
      <c r="F45" s="3">
        <v>64.125</v>
      </c>
      <c r="G45" s="3">
        <v>69</v>
      </c>
      <c r="H45" s="3">
        <v>62.5</v>
      </c>
      <c r="I45" s="3">
        <v>69</v>
      </c>
      <c r="J45" s="3">
        <v>68.625</v>
      </c>
      <c r="K45" s="3">
        <v>0</v>
      </c>
      <c r="L45" s="3">
        <v>69</v>
      </c>
      <c r="M45" s="3">
        <v>69</v>
      </c>
      <c r="N45" s="3">
        <v>69</v>
      </c>
      <c r="O45" s="3">
        <v>0</v>
      </c>
      <c r="P45" s="3">
        <v>32.5</v>
      </c>
      <c r="Q45" s="3">
        <v>62</v>
      </c>
      <c r="R45" s="3">
        <v>106.789063</v>
      </c>
    </row>
    <row r="46" spans="2:18" x14ac:dyDescent="0.25">
      <c r="B46" s="3" t="s">
        <v>51</v>
      </c>
      <c r="C46" s="3">
        <v>63.5</v>
      </c>
      <c r="D46" s="3">
        <v>0</v>
      </c>
      <c r="E46" s="3">
        <v>54.5</v>
      </c>
      <c r="F46" s="3">
        <v>63.5</v>
      </c>
      <c r="G46" s="3">
        <v>63.5</v>
      </c>
      <c r="H46" s="3">
        <v>60.5</v>
      </c>
      <c r="I46" s="3">
        <v>63.5</v>
      </c>
      <c r="J46" s="3">
        <v>63.5</v>
      </c>
      <c r="K46" s="3">
        <v>0</v>
      </c>
      <c r="L46" s="3">
        <v>63.5</v>
      </c>
      <c r="M46" s="3">
        <v>63.5</v>
      </c>
      <c r="N46" s="3">
        <v>63.5</v>
      </c>
      <c r="O46" s="3">
        <v>0</v>
      </c>
      <c r="P46" s="3">
        <v>63.5</v>
      </c>
      <c r="Q46" s="3">
        <v>63.5</v>
      </c>
      <c r="R46" s="3">
        <v>41.5</v>
      </c>
    </row>
    <row r="47" spans="2:18" x14ac:dyDescent="0.25">
      <c r="B47" s="3" t="s">
        <v>52</v>
      </c>
      <c r="C47" s="3">
        <v>65.777799999999999</v>
      </c>
      <c r="D47" s="3">
        <v>0</v>
      </c>
      <c r="E47" s="3">
        <v>58</v>
      </c>
      <c r="F47" s="3">
        <v>8.6111109999999993</v>
      </c>
      <c r="G47" s="3">
        <v>64.777778999999995</v>
      </c>
      <c r="H47" s="3">
        <v>63.277779000000002</v>
      </c>
      <c r="I47" s="3">
        <v>64.277778999999995</v>
      </c>
      <c r="J47" s="3">
        <v>65.777778999999995</v>
      </c>
      <c r="K47" s="3">
        <v>43.777779000000002</v>
      </c>
      <c r="L47" s="3">
        <v>64.777778999999995</v>
      </c>
      <c r="M47" s="3">
        <v>65.777778999999995</v>
      </c>
      <c r="N47" s="3">
        <v>65.777778999999995</v>
      </c>
      <c r="O47" s="3">
        <v>43.777779000000002</v>
      </c>
      <c r="P47" s="3">
        <v>51.277779000000002</v>
      </c>
      <c r="Q47" s="3">
        <v>60.777779000000002</v>
      </c>
      <c r="R47" s="3">
        <v>69</v>
      </c>
    </row>
    <row r="48" spans="2:18" x14ac:dyDescent="0.25">
      <c r="B48" s="3" t="s">
        <v>53</v>
      </c>
      <c r="C48" s="3">
        <v>61</v>
      </c>
      <c r="D48" s="3">
        <v>19.7698</v>
      </c>
      <c r="E48" s="3">
        <v>59</v>
      </c>
      <c r="F48" s="3">
        <v>59.915554</v>
      </c>
      <c r="G48" s="3">
        <v>61</v>
      </c>
      <c r="H48" s="3">
        <v>61</v>
      </c>
      <c r="I48" s="3">
        <v>61</v>
      </c>
      <c r="J48" s="3">
        <v>61</v>
      </c>
      <c r="K48" s="3">
        <v>43.060001</v>
      </c>
      <c r="L48" s="3">
        <v>61</v>
      </c>
      <c r="M48" s="3">
        <v>61</v>
      </c>
      <c r="N48" s="3">
        <v>61</v>
      </c>
      <c r="O48" s="3">
        <v>43.060001</v>
      </c>
      <c r="P48" s="3">
        <v>58</v>
      </c>
      <c r="Q48" s="3">
        <v>61</v>
      </c>
      <c r="R48" s="3">
        <v>63.5</v>
      </c>
    </row>
    <row r="49" spans="2:18" x14ac:dyDescent="0.25">
      <c r="B49" s="3" t="s">
        <v>54</v>
      </c>
      <c r="C49" s="3">
        <v>18.920000000000002</v>
      </c>
      <c r="D49" s="3">
        <v>0</v>
      </c>
      <c r="E49" s="3">
        <v>18.73</v>
      </c>
      <c r="F49" s="3">
        <v>0</v>
      </c>
      <c r="G49" s="3">
        <v>18.73</v>
      </c>
      <c r="H49" s="3">
        <v>18.73</v>
      </c>
      <c r="I49" s="3">
        <v>18.73</v>
      </c>
      <c r="J49" s="3">
        <v>18.920000000000002</v>
      </c>
      <c r="K49" s="3">
        <v>9</v>
      </c>
      <c r="L49" s="3">
        <v>18.73</v>
      </c>
      <c r="M49" s="3">
        <v>18.920000000000002</v>
      </c>
      <c r="N49" s="3">
        <v>18.73</v>
      </c>
      <c r="O49" s="3">
        <v>9</v>
      </c>
      <c r="P49" s="3">
        <v>15</v>
      </c>
      <c r="Q49" s="3">
        <v>11.5</v>
      </c>
      <c r="R49" s="3">
        <v>65.777799999999999</v>
      </c>
    </row>
    <row r="50" spans="2:18" x14ac:dyDescent="0.25">
      <c r="B50" s="3" t="s">
        <v>55</v>
      </c>
      <c r="C50" s="3">
        <v>48.969099999999997</v>
      </c>
      <c r="D50" s="3">
        <v>0</v>
      </c>
      <c r="E50" s="3">
        <v>40.969135000000001</v>
      </c>
      <c r="F50" s="3">
        <v>0</v>
      </c>
      <c r="G50" s="3">
        <v>44.969135000000001</v>
      </c>
      <c r="H50" s="3">
        <v>47.469135000000001</v>
      </c>
      <c r="I50" s="3">
        <v>43.969135000000001</v>
      </c>
      <c r="J50" s="3">
        <v>48.969135000000001</v>
      </c>
      <c r="K50" s="3">
        <v>31.654319999999998</v>
      </c>
      <c r="L50" s="3">
        <v>44.969135000000001</v>
      </c>
      <c r="M50" s="3">
        <v>48.969135000000001</v>
      </c>
      <c r="N50" s="3">
        <v>46.969135000000001</v>
      </c>
      <c r="O50" s="3">
        <v>31.654319999999998</v>
      </c>
      <c r="P50" s="3">
        <v>23.154319999999998</v>
      </c>
      <c r="Q50" s="3">
        <v>39.469135000000001</v>
      </c>
      <c r="R50" s="3">
        <v>61</v>
      </c>
    </row>
    <row r="51" spans="2:18" x14ac:dyDescent="0.25">
      <c r="B51" s="3" t="s">
        <v>56</v>
      </c>
      <c r="C51" s="3">
        <v>52.301000000000002</v>
      </c>
      <c r="D51" s="3">
        <v>0</v>
      </c>
      <c r="E51" s="3">
        <v>45.904845999999999</v>
      </c>
      <c r="F51" s="3">
        <v>28.650518000000002</v>
      </c>
      <c r="G51" s="3">
        <v>51.801037000000001</v>
      </c>
      <c r="H51" s="3">
        <v>49.904845999999999</v>
      </c>
      <c r="I51" s="3">
        <v>49.301037000000001</v>
      </c>
      <c r="J51" s="3">
        <v>50.801037000000001</v>
      </c>
      <c r="K51" s="3">
        <v>29.801037000000001</v>
      </c>
      <c r="L51" s="3">
        <v>51.801037000000001</v>
      </c>
      <c r="M51" s="3">
        <v>52.301037000000001</v>
      </c>
      <c r="N51" s="3">
        <v>52.301037000000001</v>
      </c>
      <c r="O51" s="3">
        <v>29.801037000000001</v>
      </c>
      <c r="P51" s="3">
        <v>24.761246</v>
      </c>
      <c r="Q51" s="3">
        <v>31.761246</v>
      </c>
      <c r="R51" s="3">
        <v>18.920000000000002</v>
      </c>
    </row>
    <row r="52" spans="2:18" x14ac:dyDescent="0.25">
      <c r="B52" s="3" t="s">
        <v>57</v>
      </c>
      <c r="C52" s="3">
        <v>63.5</v>
      </c>
      <c r="D52" s="3">
        <v>0</v>
      </c>
      <c r="E52" s="3">
        <v>63.5</v>
      </c>
      <c r="F52" s="3">
        <v>63.5</v>
      </c>
      <c r="G52" s="3">
        <v>63.5</v>
      </c>
      <c r="H52" s="3">
        <v>63.5</v>
      </c>
      <c r="I52" s="3">
        <v>63.5</v>
      </c>
      <c r="J52" s="3">
        <v>63.5</v>
      </c>
      <c r="K52" s="3">
        <v>32</v>
      </c>
      <c r="L52" s="3">
        <v>63.5</v>
      </c>
      <c r="M52" s="3">
        <v>63.5</v>
      </c>
      <c r="N52" s="3">
        <v>63.5</v>
      </c>
      <c r="O52" s="3">
        <v>32</v>
      </c>
      <c r="P52" s="3">
        <v>63</v>
      </c>
      <c r="Q52" s="3">
        <v>63.5</v>
      </c>
      <c r="R52" s="3">
        <v>48.969135000000001</v>
      </c>
    </row>
    <row r="53" spans="2:18" x14ac:dyDescent="0.25">
      <c r="B53" s="3" t="s">
        <v>58</v>
      </c>
      <c r="C53" s="3">
        <v>46.432099999999998</v>
      </c>
      <c r="D53" s="3">
        <v>10.913600000000001</v>
      </c>
      <c r="E53" s="3">
        <v>28.888888999999999</v>
      </c>
      <c r="F53" s="3">
        <v>44.135803000000003</v>
      </c>
      <c r="G53" s="3">
        <v>46.432098000000003</v>
      </c>
      <c r="H53" s="3">
        <v>45.932098000000003</v>
      </c>
      <c r="I53" s="3">
        <v>45.932098000000003</v>
      </c>
      <c r="J53" s="3">
        <v>45.932098000000003</v>
      </c>
      <c r="K53" s="3">
        <v>40.487656000000001</v>
      </c>
      <c r="L53" s="3">
        <v>46.432098000000003</v>
      </c>
      <c r="M53" s="3">
        <v>46.432098000000003</v>
      </c>
      <c r="N53" s="3">
        <v>46.432098000000003</v>
      </c>
      <c r="O53" s="3">
        <v>40.487656000000001</v>
      </c>
      <c r="P53" s="3">
        <v>41.932098000000003</v>
      </c>
      <c r="Q53" s="3">
        <v>37.932098000000003</v>
      </c>
      <c r="R53" s="3">
        <v>52.301037000000001</v>
      </c>
    </row>
    <row r="54" spans="2:18" x14ac:dyDescent="0.25">
      <c r="B54" s="3" t="s">
        <v>59</v>
      </c>
      <c r="C54" s="3">
        <v>52.2515</v>
      </c>
      <c r="D54" s="3">
        <v>9.0236999999999998</v>
      </c>
      <c r="E54" s="3">
        <v>42.751480000000001</v>
      </c>
      <c r="F54" s="3">
        <v>37.899405999999999</v>
      </c>
      <c r="G54" s="3">
        <v>52.251480000000001</v>
      </c>
      <c r="H54" s="3">
        <v>52.251480000000001</v>
      </c>
      <c r="I54" s="3">
        <v>52.251480000000001</v>
      </c>
      <c r="J54" s="3">
        <v>52.251480000000001</v>
      </c>
      <c r="K54" s="3">
        <v>35.251480000000001</v>
      </c>
      <c r="L54" s="3">
        <v>52.251480000000001</v>
      </c>
      <c r="M54" s="3">
        <v>51.751480000000001</v>
      </c>
      <c r="N54" s="3">
        <v>52.251480000000001</v>
      </c>
      <c r="O54" s="3">
        <v>35.251480000000001</v>
      </c>
      <c r="P54" s="3">
        <v>29.139053000000001</v>
      </c>
      <c r="Q54" s="3">
        <v>41.139052999999997</v>
      </c>
      <c r="R54" s="3">
        <v>63.5</v>
      </c>
    </row>
    <row r="55" spans="2:18" x14ac:dyDescent="0.25">
      <c r="B55" s="3" t="s">
        <v>60</v>
      </c>
      <c r="C55" s="3">
        <v>38.994100000000003</v>
      </c>
      <c r="D55" s="3">
        <v>17.3521</v>
      </c>
      <c r="E55" s="3">
        <v>34.994083000000003</v>
      </c>
      <c r="F55" s="3">
        <v>33.446747000000002</v>
      </c>
      <c r="G55" s="3">
        <v>38.748519999999999</v>
      </c>
      <c r="H55" s="3">
        <v>38.248519999999999</v>
      </c>
      <c r="I55" s="3">
        <v>38.748519999999999</v>
      </c>
      <c r="J55" s="3">
        <v>38.476329999999997</v>
      </c>
      <c r="K55" s="3">
        <v>29.248519999999999</v>
      </c>
      <c r="L55" s="3">
        <v>38.748519999999999</v>
      </c>
      <c r="M55" s="3">
        <v>38.994083000000003</v>
      </c>
      <c r="N55" s="3">
        <v>38.994083000000003</v>
      </c>
      <c r="O55" s="3">
        <v>29.248519999999999</v>
      </c>
      <c r="P55" s="3">
        <v>21.5</v>
      </c>
      <c r="Q55" s="3">
        <v>31</v>
      </c>
      <c r="R55" s="3">
        <v>46.432099999999998</v>
      </c>
    </row>
    <row r="56" spans="2:18" x14ac:dyDescent="0.25">
      <c r="B56" s="3" t="s">
        <v>61</v>
      </c>
      <c r="C56" s="3">
        <v>15.484400000000001</v>
      </c>
      <c r="D56" s="3">
        <v>0</v>
      </c>
      <c r="E56" s="3">
        <v>15.484375</v>
      </c>
      <c r="F56" s="3">
        <v>10.9375</v>
      </c>
      <c r="G56" s="3">
        <v>11</v>
      </c>
      <c r="H56" s="3">
        <v>15.484375</v>
      </c>
      <c r="I56" s="3">
        <v>10.9375</v>
      </c>
      <c r="J56" s="3">
        <v>15.484375</v>
      </c>
      <c r="K56" s="3">
        <v>0</v>
      </c>
      <c r="L56" s="3">
        <v>11</v>
      </c>
      <c r="M56" s="3">
        <v>15.484375</v>
      </c>
      <c r="N56" s="3">
        <v>15.484375</v>
      </c>
      <c r="O56" s="3">
        <v>0</v>
      </c>
      <c r="P56" s="3">
        <v>8.5</v>
      </c>
      <c r="Q56" s="3">
        <v>8</v>
      </c>
      <c r="R56" s="3">
        <v>52.2515</v>
      </c>
    </row>
    <row r="57" spans="2:18" x14ac:dyDescent="0.25">
      <c r="B57" s="3" t="s">
        <v>62</v>
      </c>
      <c r="C57" s="3">
        <v>16.7</v>
      </c>
      <c r="D57" s="3">
        <v>9.2444000000000006</v>
      </c>
      <c r="E57" s="3">
        <v>16.700001</v>
      </c>
      <c r="F57" s="3">
        <v>14.311111</v>
      </c>
      <c r="G57" s="3">
        <v>16.644444</v>
      </c>
      <c r="H57" s="3">
        <v>16.577777999999999</v>
      </c>
      <c r="I57" s="3">
        <v>16.644444</v>
      </c>
      <c r="J57" s="3">
        <v>16.700001</v>
      </c>
      <c r="K57" s="3">
        <v>0</v>
      </c>
      <c r="L57" s="3">
        <v>16.644444</v>
      </c>
      <c r="M57" s="3">
        <v>16.700001</v>
      </c>
      <c r="N57" s="3">
        <v>16.700001</v>
      </c>
      <c r="O57" s="3">
        <v>0</v>
      </c>
      <c r="P57" s="3">
        <v>10</v>
      </c>
      <c r="Q57" s="3">
        <v>12.5</v>
      </c>
      <c r="R57" s="3">
        <v>38.994100000000003</v>
      </c>
    </row>
    <row r="58" spans="2:18" x14ac:dyDescent="0.25">
      <c r="B58" s="3" t="s">
        <v>63</v>
      </c>
      <c r="C58" s="3">
        <v>14.222200000000001</v>
      </c>
      <c r="D58" s="3">
        <v>0</v>
      </c>
      <c r="E58" s="3">
        <v>7.5</v>
      </c>
      <c r="F58" s="3">
        <v>0</v>
      </c>
      <c r="G58" s="3">
        <v>14.222220999999999</v>
      </c>
      <c r="H58" s="3">
        <v>14.222220999999999</v>
      </c>
      <c r="I58" s="3">
        <v>14.222220999999999</v>
      </c>
      <c r="J58" s="3">
        <v>14.222220999999999</v>
      </c>
      <c r="K58" s="3">
        <v>0</v>
      </c>
      <c r="L58" s="3">
        <v>14.222220999999999</v>
      </c>
      <c r="M58" s="3">
        <v>14.222220999999999</v>
      </c>
      <c r="N58" s="3">
        <v>14.222220999999999</v>
      </c>
      <c r="O58" s="3">
        <v>0</v>
      </c>
      <c r="P58" s="3">
        <v>5</v>
      </c>
      <c r="Q58" s="3">
        <v>9.5</v>
      </c>
      <c r="R58" s="3">
        <v>15.484400000000001</v>
      </c>
    </row>
    <row r="59" spans="2:18" x14ac:dyDescent="0.25">
      <c r="B59" s="3" t="s">
        <v>64</v>
      </c>
      <c r="C59" s="3">
        <v>14.2012</v>
      </c>
      <c r="D59" s="3">
        <v>7.8106999999999998</v>
      </c>
      <c r="E59" s="3">
        <v>10.650887000000001</v>
      </c>
      <c r="F59" s="3">
        <v>14.201183</v>
      </c>
      <c r="G59" s="3">
        <v>14.201183</v>
      </c>
      <c r="H59" s="3">
        <v>13.144970000000001</v>
      </c>
      <c r="I59" s="3">
        <v>14.201183</v>
      </c>
      <c r="J59" s="3">
        <v>14.201183</v>
      </c>
      <c r="K59" s="3">
        <v>0</v>
      </c>
      <c r="L59" s="3">
        <v>14.201183</v>
      </c>
      <c r="M59" s="3">
        <v>14.201183</v>
      </c>
      <c r="N59" s="3">
        <v>14.201183</v>
      </c>
      <c r="O59" s="3">
        <v>0</v>
      </c>
      <c r="P59" s="3">
        <v>0</v>
      </c>
      <c r="Q59" s="3">
        <v>4.5</v>
      </c>
      <c r="R59" s="3">
        <v>16.700001</v>
      </c>
    </row>
    <row r="60" spans="2:18" x14ac:dyDescent="0.25">
      <c r="B60" s="3" t="s">
        <v>65</v>
      </c>
      <c r="C60" s="3">
        <v>12</v>
      </c>
      <c r="D60" s="3">
        <v>0</v>
      </c>
      <c r="E60" s="3">
        <v>12</v>
      </c>
      <c r="F60" s="3">
        <v>0</v>
      </c>
      <c r="G60" s="3">
        <v>12</v>
      </c>
      <c r="H60" s="3">
        <v>12</v>
      </c>
      <c r="I60" s="3">
        <v>12</v>
      </c>
      <c r="J60" s="3">
        <v>12</v>
      </c>
      <c r="K60" s="3">
        <v>0</v>
      </c>
      <c r="L60" s="3">
        <v>12</v>
      </c>
      <c r="M60" s="3">
        <v>12</v>
      </c>
      <c r="N60" s="3">
        <v>12</v>
      </c>
      <c r="O60" s="3">
        <v>0</v>
      </c>
      <c r="P60" s="3">
        <v>12</v>
      </c>
      <c r="Q60" s="3">
        <v>6</v>
      </c>
      <c r="R60" s="3">
        <v>14.222220999999999</v>
      </c>
    </row>
    <row r="61" spans="2:18" x14ac:dyDescent="0.25">
      <c r="B61" s="3" t="s">
        <v>66</v>
      </c>
      <c r="C61" s="3">
        <v>30</v>
      </c>
      <c r="D61" s="3">
        <v>0</v>
      </c>
      <c r="E61" s="3">
        <v>30</v>
      </c>
      <c r="F61" s="3">
        <v>27.555554999999998</v>
      </c>
      <c r="G61" s="3">
        <v>30</v>
      </c>
      <c r="H61" s="3">
        <v>30</v>
      </c>
      <c r="I61" s="3">
        <v>30</v>
      </c>
      <c r="J61" s="3">
        <v>30</v>
      </c>
      <c r="K61" s="3">
        <v>0</v>
      </c>
      <c r="L61" s="3">
        <v>30</v>
      </c>
      <c r="M61" s="3">
        <v>30</v>
      </c>
      <c r="N61" s="3">
        <v>30</v>
      </c>
      <c r="O61" s="3">
        <v>0</v>
      </c>
      <c r="P61" s="3">
        <v>30</v>
      </c>
      <c r="Q61" s="3">
        <v>30</v>
      </c>
      <c r="R61" s="3">
        <v>14.2012</v>
      </c>
    </row>
    <row r="62" spans="2:18" x14ac:dyDescent="0.25">
      <c r="B62" s="3" t="s">
        <v>67</v>
      </c>
      <c r="C62" s="3">
        <v>48.343800000000002</v>
      </c>
      <c r="D62" s="3">
        <v>7.0233999999999996</v>
      </c>
      <c r="E62" s="3">
        <v>31.84375</v>
      </c>
      <c r="F62" s="3">
        <v>39.648437999999999</v>
      </c>
      <c r="G62" s="3">
        <v>48.34375</v>
      </c>
      <c r="H62" s="3">
        <v>45.835937999999999</v>
      </c>
      <c r="I62" s="3">
        <v>48.34375</v>
      </c>
      <c r="J62" s="3">
        <v>48.34375</v>
      </c>
      <c r="K62" s="3">
        <v>0</v>
      </c>
      <c r="L62" s="3">
        <v>48.34375</v>
      </c>
      <c r="M62" s="3">
        <v>48.34375</v>
      </c>
      <c r="N62" s="3">
        <v>48.34375</v>
      </c>
      <c r="O62" s="3">
        <v>0</v>
      </c>
      <c r="P62" s="3">
        <v>0</v>
      </c>
      <c r="Q62" s="3">
        <v>22</v>
      </c>
      <c r="R62" s="3">
        <v>12</v>
      </c>
    </row>
    <row r="63" spans="2:18" x14ac:dyDescent="0.25">
      <c r="B63" s="3" t="s">
        <v>68</v>
      </c>
      <c r="C63" s="3">
        <v>16.329999999999998</v>
      </c>
      <c r="D63" s="3">
        <v>0</v>
      </c>
      <c r="E63" s="3">
        <v>14.83</v>
      </c>
      <c r="F63" s="3">
        <v>16.32</v>
      </c>
      <c r="G63" s="3">
        <v>16.329999999999998</v>
      </c>
      <c r="H63" s="3">
        <v>16.329999999999998</v>
      </c>
      <c r="I63" s="3">
        <v>16.329999999999998</v>
      </c>
      <c r="J63" s="3">
        <v>16.329999999999998</v>
      </c>
      <c r="K63" s="3">
        <v>0</v>
      </c>
      <c r="L63" s="3">
        <v>16.329999999999998</v>
      </c>
      <c r="M63" s="3">
        <v>16.329999999999998</v>
      </c>
      <c r="N63" s="3">
        <v>16.329999999999998</v>
      </c>
      <c r="O63" s="3">
        <v>0</v>
      </c>
      <c r="P63" s="3">
        <v>13</v>
      </c>
      <c r="Q63" s="3">
        <v>15</v>
      </c>
      <c r="R63" s="3">
        <v>30</v>
      </c>
    </row>
    <row r="64" spans="2:18" x14ac:dyDescent="0.25">
      <c r="B64" s="3" t="s">
        <v>69</v>
      </c>
      <c r="C64" s="3">
        <v>21</v>
      </c>
      <c r="D64" s="3">
        <v>0</v>
      </c>
      <c r="E64" s="3">
        <v>21</v>
      </c>
      <c r="F64" s="3">
        <v>19.333334000000001</v>
      </c>
      <c r="G64" s="3">
        <v>18</v>
      </c>
      <c r="H64" s="3">
        <v>19</v>
      </c>
      <c r="I64" s="3">
        <v>18</v>
      </c>
      <c r="J64" s="3">
        <v>21</v>
      </c>
      <c r="K64" s="3">
        <v>0</v>
      </c>
      <c r="L64" s="3">
        <v>19.5</v>
      </c>
      <c r="M64" s="3">
        <v>21</v>
      </c>
      <c r="N64" s="3">
        <v>21</v>
      </c>
      <c r="O64" s="3">
        <v>0</v>
      </c>
      <c r="P64" s="3">
        <v>13</v>
      </c>
      <c r="Q64" s="3">
        <v>7</v>
      </c>
      <c r="R64" s="3">
        <v>48.343800000000002</v>
      </c>
    </row>
    <row r="65" spans="2:18" x14ac:dyDescent="0.25">
      <c r="B65" s="3" t="s">
        <v>70</v>
      </c>
      <c r="C65" s="3">
        <v>23.603300000000001</v>
      </c>
      <c r="D65" s="3">
        <v>8.4297000000000004</v>
      </c>
      <c r="E65" s="3">
        <v>19.103306</v>
      </c>
      <c r="F65" s="3">
        <v>23.603306</v>
      </c>
      <c r="G65" s="3">
        <v>23.603306</v>
      </c>
      <c r="H65" s="3">
        <v>21.657024</v>
      </c>
      <c r="I65" s="3">
        <v>23.603306</v>
      </c>
      <c r="J65" s="3">
        <v>23.603306</v>
      </c>
      <c r="K65" s="3">
        <v>0</v>
      </c>
      <c r="L65" s="3">
        <v>23.603306</v>
      </c>
      <c r="M65" s="3">
        <v>23.603306</v>
      </c>
      <c r="N65" s="3">
        <v>23.603306</v>
      </c>
      <c r="O65" s="3">
        <v>0</v>
      </c>
      <c r="P65" s="3">
        <v>2.5</v>
      </c>
      <c r="Q65" s="3">
        <v>15.5</v>
      </c>
      <c r="R65" s="3">
        <v>16.329999999999998</v>
      </c>
    </row>
    <row r="66" spans="2:18" x14ac:dyDescent="0.25">
      <c r="B66" s="3" t="s">
        <v>71</v>
      </c>
      <c r="C66" s="3">
        <v>10.5</v>
      </c>
      <c r="D66" s="3">
        <v>0</v>
      </c>
      <c r="E66" s="3">
        <v>8</v>
      </c>
      <c r="F66" s="3">
        <v>0</v>
      </c>
      <c r="G66" s="3">
        <v>10.5</v>
      </c>
      <c r="H66" s="3">
        <v>10.5</v>
      </c>
      <c r="I66" s="3">
        <v>10.5</v>
      </c>
      <c r="J66" s="3">
        <v>10.5</v>
      </c>
      <c r="K66" s="3">
        <v>0</v>
      </c>
      <c r="L66" s="3">
        <v>10.5</v>
      </c>
      <c r="M66" s="3">
        <v>10.5</v>
      </c>
      <c r="N66" s="3">
        <v>10.5</v>
      </c>
      <c r="O66" s="3">
        <v>0</v>
      </c>
      <c r="P66" s="3">
        <v>4.5</v>
      </c>
      <c r="Q66" s="3">
        <v>9.5</v>
      </c>
      <c r="R66" s="3">
        <v>21</v>
      </c>
    </row>
    <row r="67" spans="2:18" x14ac:dyDescent="0.25">
      <c r="B67" s="3" t="s">
        <v>72</v>
      </c>
      <c r="C67" s="3">
        <v>8.5206999999999997</v>
      </c>
      <c r="D67" s="3">
        <v>6.3905000000000003</v>
      </c>
      <c r="E67" s="3">
        <v>7.0207100000000002</v>
      </c>
      <c r="F67" s="3">
        <v>8.1479289999999995</v>
      </c>
      <c r="G67" s="3">
        <v>8.5207099999999993</v>
      </c>
      <c r="H67" s="3">
        <v>8.5207099999999993</v>
      </c>
      <c r="I67" s="3">
        <v>8.5207099999999993</v>
      </c>
      <c r="J67" s="3">
        <v>8.5207099999999993</v>
      </c>
      <c r="K67" s="3">
        <v>0</v>
      </c>
      <c r="L67" s="3">
        <v>8.5207099999999993</v>
      </c>
      <c r="M67" s="3">
        <v>8.5207099999999993</v>
      </c>
      <c r="N67" s="3">
        <v>8.5207099999999993</v>
      </c>
      <c r="O67" s="3">
        <v>0</v>
      </c>
      <c r="P67" s="3">
        <v>4.5</v>
      </c>
      <c r="Q67" s="3">
        <v>5</v>
      </c>
      <c r="R67" s="3">
        <v>23.603306</v>
      </c>
    </row>
    <row r="68" spans="2:18" x14ac:dyDescent="0.25">
      <c r="B68" s="3" t="s">
        <v>73</v>
      </c>
      <c r="C68" s="3">
        <v>5.5</v>
      </c>
      <c r="D68" s="3">
        <v>2.4062999999999999</v>
      </c>
      <c r="E68" s="3">
        <v>5.5</v>
      </c>
      <c r="F68" s="3">
        <v>5.5</v>
      </c>
      <c r="G68" s="3">
        <v>5.5</v>
      </c>
      <c r="H68" s="3">
        <v>5.5</v>
      </c>
      <c r="I68" s="3">
        <v>5.5</v>
      </c>
      <c r="J68" s="3">
        <v>5.5</v>
      </c>
      <c r="K68" s="3">
        <v>0</v>
      </c>
      <c r="L68" s="3">
        <v>5.5</v>
      </c>
      <c r="M68" s="3">
        <v>5.5</v>
      </c>
      <c r="N68" s="3">
        <v>5.5</v>
      </c>
      <c r="O68" s="3">
        <v>0</v>
      </c>
      <c r="P68" s="3">
        <v>4</v>
      </c>
      <c r="Q68" s="3">
        <v>5.5</v>
      </c>
      <c r="R68" s="3">
        <v>10.5</v>
      </c>
    </row>
    <row r="69" spans="2:18" x14ac:dyDescent="0.25">
      <c r="B69" s="3" t="s">
        <v>74</v>
      </c>
      <c r="C69" s="3">
        <v>15.5</v>
      </c>
      <c r="D69" s="3">
        <v>0</v>
      </c>
      <c r="E69" s="3">
        <v>9.03125</v>
      </c>
      <c r="F69" s="3">
        <v>15.257813000000001</v>
      </c>
      <c r="G69" s="3">
        <v>15.5</v>
      </c>
      <c r="H69" s="3">
        <v>15.5</v>
      </c>
      <c r="I69" s="3">
        <v>15.5</v>
      </c>
      <c r="J69" s="3">
        <v>15.5</v>
      </c>
      <c r="K69" s="3">
        <v>0</v>
      </c>
      <c r="L69" s="3">
        <v>15.5</v>
      </c>
      <c r="M69" s="3">
        <v>15.5</v>
      </c>
      <c r="N69" s="3">
        <v>15.5</v>
      </c>
      <c r="O69" s="3">
        <v>0</v>
      </c>
      <c r="P69" s="3">
        <v>11</v>
      </c>
      <c r="Q69" s="3">
        <v>15.5</v>
      </c>
      <c r="R69" s="3">
        <v>8.5207099999999993</v>
      </c>
    </row>
    <row r="70" spans="2:18" x14ac:dyDescent="0.25">
      <c r="B70" s="3" t="s">
        <v>75</v>
      </c>
      <c r="C70" s="3">
        <v>7.68</v>
      </c>
      <c r="D70" s="3">
        <v>2.88</v>
      </c>
      <c r="E70" s="3">
        <v>7.18</v>
      </c>
      <c r="F70" s="3">
        <v>7.68</v>
      </c>
      <c r="G70" s="3">
        <v>7.68</v>
      </c>
      <c r="H70" s="3">
        <v>7.68</v>
      </c>
      <c r="I70" s="3">
        <v>7.68</v>
      </c>
      <c r="J70" s="3">
        <v>7.68</v>
      </c>
      <c r="K70" s="3">
        <v>0</v>
      </c>
      <c r="L70" s="3">
        <v>7.68</v>
      </c>
      <c r="M70" s="3">
        <v>7.68</v>
      </c>
      <c r="N70" s="3">
        <v>7.68</v>
      </c>
      <c r="O70" s="3">
        <v>0</v>
      </c>
      <c r="P70" s="3">
        <v>4</v>
      </c>
      <c r="Q70" s="3">
        <v>6.5</v>
      </c>
      <c r="R70" s="3">
        <v>5.5</v>
      </c>
    </row>
    <row r="71" spans="2:18" x14ac:dyDescent="0.25">
      <c r="B71" s="3" t="s">
        <v>76</v>
      </c>
      <c r="C71" s="3">
        <v>6.64</v>
      </c>
      <c r="D71" s="3">
        <v>0</v>
      </c>
      <c r="E71" s="3">
        <v>6.64</v>
      </c>
      <c r="F71" s="3">
        <v>0</v>
      </c>
      <c r="G71" s="3">
        <v>6.5</v>
      </c>
      <c r="H71" s="3">
        <v>6.64</v>
      </c>
      <c r="I71" s="3">
        <v>6.5</v>
      </c>
      <c r="J71" s="3">
        <v>6.64</v>
      </c>
      <c r="K71" s="3">
        <v>0</v>
      </c>
      <c r="L71" s="3">
        <v>6.5</v>
      </c>
      <c r="M71" s="3">
        <v>6.64</v>
      </c>
      <c r="N71" s="3">
        <v>6.5</v>
      </c>
      <c r="O71" s="3">
        <v>0</v>
      </c>
      <c r="P71" s="3">
        <v>6.5</v>
      </c>
      <c r="Q71" s="3">
        <v>3</v>
      </c>
      <c r="R71" s="3">
        <v>15.5</v>
      </c>
    </row>
    <row r="72" spans="2:18" x14ac:dyDescent="0.25">
      <c r="B72" s="3" t="s">
        <v>77</v>
      </c>
      <c r="C72" s="3">
        <v>10</v>
      </c>
      <c r="D72" s="3">
        <v>0</v>
      </c>
      <c r="E72" s="3">
        <v>7.6111110000000002</v>
      </c>
      <c r="F72" s="3">
        <v>6.444445</v>
      </c>
      <c r="G72" s="3">
        <v>6.444445</v>
      </c>
      <c r="H72" s="3">
        <v>10</v>
      </c>
      <c r="I72" s="3">
        <v>6.444445</v>
      </c>
      <c r="J72" s="3">
        <v>10</v>
      </c>
      <c r="K72" s="3">
        <v>0</v>
      </c>
      <c r="L72" s="3">
        <v>6.444445</v>
      </c>
      <c r="M72" s="3">
        <v>10</v>
      </c>
      <c r="N72" s="3">
        <v>10</v>
      </c>
      <c r="O72" s="3">
        <v>0</v>
      </c>
      <c r="P72" s="3">
        <v>0</v>
      </c>
      <c r="Q72" s="3">
        <v>9</v>
      </c>
      <c r="R72" s="3">
        <v>7.68</v>
      </c>
    </row>
    <row r="73" spans="2:18" x14ac:dyDescent="0.25">
      <c r="B73" s="3" t="s">
        <v>78</v>
      </c>
      <c r="C73" s="3">
        <v>16.5</v>
      </c>
      <c r="D73" s="3">
        <v>14.666700000000001</v>
      </c>
      <c r="E73" s="3">
        <v>10.666667</v>
      </c>
      <c r="F73" s="3">
        <v>16.5</v>
      </c>
      <c r="G73" s="3">
        <v>16.5</v>
      </c>
      <c r="H73" s="3">
        <v>16.5</v>
      </c>
      <c r="I73" s="3">
        <v>16.5</v>
      </c>
      <c r="J73" s="3">
        <v>16.5</v>
      </c>
      <c r="K73" s="3">
        <v>0</v>
      </c>
      <c r="L73" s="3">
        <v>16.5</v>
      </c>
      <c r="M73" s="3">
        <v>16.5</v>
      </c>
      <c r="N73" s="3">
        <v>16.5</v>
      </c>
      <c r="O73" s="3">
        <v>0</v>
      </c>
      <c r="P73" s="3">
        <v>13</v>
      </c>
      <c r="Q73" s="3">
        <v>16.5</v>
      </c>
      <c r="R73" s="3">
        <v>6.64</v>
      </c>
    </row>
    <row r="74" spans="2:18" x14ac:dyDescent="0.25">
      <c r="B74" s="3" t="s">
        <v>79</v>
      </c>
      <c r="C74" s="3">
        <v>9.5</v>
      </c>
      <c r="D74" s="3">
        <v>2.5204</v>
      </c>
      <c r="E74" s="3">
        <v>8</v>
      </c>
      <c r="F74" s="3">
        <v>9.3061229999999995</v>
      </c>
      <c r="G74" s="3">
        <v>9.5</v>
      </c>
      <c r="H74" s="3">
        <v>9.3061229999999995</v>
      </c>
      <c r="I74" s="3">
        <v>9.5</v>
      </c>
      <c r="J74" s="3">
        <v>9.5</v>
      </c>
      <c r="K74" s="3">
        <v>0</v>
      </c>
      <c r="L74" s="3">
        <v>9.5</v>
      </c>
      <c r="M74" s="3">
        <v>9.5</v>
      </c>
      <c r="N74" s="3">
        <v>9.5</v>
      </c>
      <c r="O74" s="3">
        <v>0</v>
      </c>
      <c r="P74" s="3">
        <v>4.5</v>
      </c>
      <c r="Q74" s="3">
        <v>9.5</v>
      </c>
      <c r="R74" s="3">
        <v>10</v>
      </c>
    </row>
    <row r="75" spans="2:18" x14ac:dyDescent="0.25">
      <c r="B75" s="3" t="s">
        <v>80</v>
      </c>
      <c r="C75" s="3">
        <v>64.086799999999997</v>
      </c>
      <c r="D75" s="3">
        <v>0</v>
      </c>
      <c r="E75" s="3">
        <v>45.917355000000001</v>
      </c>
      <c r="F75" s="3">
        <v>43.438015</v>
      </c>
      <c r="G75" s="3">
        <v>63.570250999999999</v>
      </c>
      <c r="H75" s="3">
        <v>60.586776999999998</v>
      </c>
      <c r="I75" s="3">
        <v>61.570250999999999</v>
      </c>
      <c r="J75" s="3">
        <v>64.086776999999998</v>
      </c>
      <c r="K75" s="3">
        <v>50.896698000000001</v>
      </c>
      <c r="L75" s="3">
        <v>63.570250999999999</v>
      </c>
      <c r="M75" s="3">
        <v>64.086776999999998</v>
      </c>
      <c r="N75" s="3">
        <v>64.086776999999998</v>
      </c>
      <c r="O75" s="3">
        <v>50.896698000000001</v>
      </c>
      <c r="P75" s="3">
        <v>31</v>
      </c>
      <c r="Q75" s="3">
        <v>44</v>
      </c>
      <c r="R75" s="3">
        <v>16.5</v>
      </c>
    </row>
    <row r="76" spans="2:18" x14ac:dyDescent="0.25">
      <c r="B76" s="3" t="s">
        <v>81</v>
      </c>
      <c r="C76" s="3">
        <v>21.091699999999999</v>
      </c>
      <c r="D76" s="3">
        <v>5.7577999999999996</v>
      </c>
      <c r="E76" s="3">
        <v>17.261246</v>
      </c>
      <c r="F76" s="3">
        <v>18.712803000000001</v>
      </c>
      <c r="G76" s="3">
        <v>20.242214000000001</v>
      </c>
      <c r="H76" s="3">
        <v>20.261246</v>
      </c>
      <c r="I76" s="3">
        <v>20.242214000000001</v>
      </c>
      <c r="J76" s="3">
        <v>21.091695999999999</v>
      </c>
      <c r="K76" s="3">
        <v>9.0916960000000007</v>
      </c>
      <c r="L76" s="3">
        <v>20.242214000000001</v>
      </c>
      <c r="M76" s="3">
        <v>21.091695999999999</v>
      </c>
      <c r="N76" s="3">
        <v>20.761246</v>
      </c>
      <c r="O76" s="3">
        <v>9.0916960000000007</v>
      </c>
      <c r="P76" s="3">
        <v>1.5</v>
      </c>
      <c r="Q76" s="3">
        <v>3.5</v>
      </c>
      <c r="R76" s="3">
        <v>9.5</v>
      </c>
    </row>
    <row r="77" spans="2:18" x14ac:dyDescent="0.25">
      <c r="B77" s="3" t="s">
        <v>82</v>
      </c>
      <c r="C77" s="3">
        <v>52.308599999999998</v>
      </c>
      <c r="D77" s="3">
        <v>0</v>
      </c>
      <c r="E77" s="3">
        <v>11.253086</v>
      </c>
      <c r="F77" s="3">
        <v>38.716048999999998</v>
      </c>
      <c r="G77" s="3">
        <v>48.777779000000002</v>
      </c>
      <c r="H77" s="3">
        <v>51.234569999999998</v>
      </c>
      <c r="I77" s="3">
        <v>52.308643000000004</v>
      </c>
      <c r="J77" s="3">
        <v>52.308643000000004</v>
      </c>
      <c r="K77" s="3">
        <v>30</v>
      </c>
      <c r="L77" s="3">
        <v>48.777779000000002</v>
      </c>
      <c r="M77" s="3">
        <v>52.308643000000004</v>
      </c>
      <c r="N77" s="3">
        <v>51</v>
      </c>
      <c r="O77" s="3">
        <v>30</v>
      </c>
      <c r="P77" s="3">
        <v>38.5</v>
      </c>
      <c r="Q77" s="3">
        <v>46</v>
      </c>
      <c r="R77" s="3">
        <v>64.086799999999997</v>
      </c>
    </row>
    <row r="78" spans="2:18" x14ac:dyDescent="0.25">
      <c r="B78" s="3" t="s">
        <v>83</v>
      </c>
      <c r="C78" s="3">
        <v>40.125</v>
      </c>
      <c r="D78" s="3">
        <v>0</v>
      </c>
      <c r="E78" s="3">
        <v>29.601562999999999</v>
      </c>
      <c r="F78" s="3">
        <v>40.125</v>
      </c>
      <c r="G78" s="3">
        <v>40.125</v>
      </c>
      <c r="H78" s="3">
        <v>39.125</v>
      </c>
      <c r="I78" s="3">
        <v>40.125</v>
      </c>
      <c r="J78" s="3">
        <v>40.125</v>
      </c>
      <c r="K78" s="3">
        <v>21.625</v>
      </c>
      <c r="L78" s="3">
        <v>40.125</v>
      </c>
      <c r="M78" s="3">
        <v>40.125</v>
      </c>
      <c r="N78" s="3">
        <v>40.125</v>
      </c>
      <c r="O78" s="3">
        <v>21.625</v>
      </c>
      <c r="P78" s="3">
        <v>36.625</v>
      </c>
      <c r="Q78" s="3">
        <v>40.125</v>
      </c>
      <c r="R78" s="3">
        <v>21.091699999999999</v>
      </c>
    </row>
    <row r="79" spans="2:18" x14ac:dyDescent="0.25">
      <c r="B79" s="3" t="s">
        <v>84</v>
      </c>
      <c r="C79" s="3">
        <v>99.182100000000005</v>
      </c>
      <c r="D79" s="3">
        <v>11.1265</v>
      </c>
      <c r="E79" s="3">
        <v>88.728393999999994</v>
      </c>
      <c r="F79" s="3">
        <v>90.555556999999993</v>
      </c>
      <c r="G79" s="3">
        <v>98.682097999999996</v>
      </c>
      <c r="H79" s="3">
        <v>98.682097999999996</v>
      </c>
      <c r="I79" s="3">
        <v>98.182097999999996</v>
      </c>
      <c r="J79" s="3">
        <v>99.182097999999996</v>
      </c>
      <c r="K79" s="3">
        <v>70.5</v>
      </c>
      <c r="L79" s="3">
        <v>98.682097999999996</v>
      </c>
      <c r="M79" s="3">
        <v>99.182097999999996</v>
      </c>
      <c r="N79" s="3">
        <v>98.682097999999996</v>
      </c>
      <c r="O79" s="3">
        <v>73.5</v>
      </c>
      <c r="P79" s="3">
        <v>73.5</v>
      </c>
      <c r="Q79" s="3">
        <v>91.5</v>
      </c>
      <c r="R79" s="3">
        <v>52.308643000000004</v>
      </c>
    </row>
    <row r="80" spans="2:18" x14ac:dyDescent="0.25">
      <c r="B80" s="3" t="s">
        <v>85</v>
      </c>
      <c r="C80" s="3">
        <v>51.708300000000001</v>
      </c>
      <c r="D80" s="3">
        <v>0</v>
      </c>
      <c r="E80" s="3">
        <v>49.208331999999999</v>
      </c>
      <c r="F80" s="3">
        <v>35.833331999999999</v>
      </c>
      <c r="G80" s="3">
        <v>51.708331999999999</v>
      </c>
      <c r="H80" s="3">
        <v>49.708331999999999</v>
      </c>
      <c r="I80" s="3">
        <v>50.208331999999999</v>
      </c>
      <c r="J80" s="3">
        <v>50.46875</v>
      </c>
      <c r="K80" s="3">
        <v>35.208331999999999</v>
      </c>
      <c r="L80" s="3">
        <v>51.708331999999999</v>
      </c>
      <c r="M80" s="3">
        <v>51.708331999999999</v>
      </c>
      <c r="N80" s="3">
        <v>51.708331999999999</v>
      </c>
      <c r="O80" s="3">
        <v>36.333331999999999</v>
      </c>
      <c r="P80" s="3">
        <v>35.5</v>
      </c>
      <c r="Q80" s="3">
        <v>35.5</v>
      </c>
      <c r="R80" s="3">
        <v>40.125</v>
      </c>
    </row>
    <row r="81" spans="2:18" x14ac:dyDescent="0.25">
      <c r="B81" s="3" t="s">
        <v>86</v>
      </c>
      <c r="C81" s="3">
        <v>33.887500000000003</v>
      </c>
      <c r="D81" s="3">
        <v>9.5103000000000009</v>
      </c>
      <c r="E81" s="3">
        <v>33.887523999999999</v>
      </c>
      <c r="F81" s="3">
        <v>30.079395000000002</v>
      </c>
      <c r="G81" s="3">
        <v>33.887523999999999</v>
      </c>
      <c r="H81" s="3">
        <v>32.887523999999999</v>
      </c>
      <c r="I81" s="3">
        <v>33.887523999999999</v>
      </c>
      <c r="J81" s="3">
        <v>33.345936000000002</v>
      </c>
      <c r="K81" s="3">
        <v>16.345935999999998</v>
      </c>
      <c r="L81" s="3">
        <v>33.887523999999999</v>
      </c>
      <c r="M81" s="3">
        <v>31.627600000000001</v>
      </c>
      <c r="N81" s="3">
        <v>33.887523999999999</v>
      </c>
      <c r="O81" s="3">
        <v>16.345935999999998</v>
      </c>
      <c r="P81" s="3">
        <v>17</v>
      </c>
      <c r="Q81" s="3">
        <v>19.5</v>
      </c>
      <c r="R81" s="3">
        <v>99.182100000000005</v>
      </c>
    </row>
    <row r="82" spans="2:18" x14ac:dyDescent="0.25">
      <c r="B82" s="3" t="s">
        <v>87</v>
      </c>
      <c r="C82" s="3">
        <v>29</v>
      </c>
      <c r="D82" s="3">
        <v>19.429300000000001</v>
      </c>
      <c r="E82" s="3">
        <v>21.1875</v>
      </c>
      <c r="F82" s="3">
        <v>29</v>
      </c>
      <c r="G82" s="3">
        <v>29</v>
      </c>
      <c r="H82" s="3">
        <v>27.546875</v>
      </c>
      <c r="I82" s="3">
        <v>29</v>
      </c>
      <c r="J82" s="3">
        <v>28.546875</v>
      </c>
      <c r="K82" s="3">
        <v>9.546875</v>
      </c>
      <c r="L82" s="3">
        <v>29</v>
      </c>
      <c r="M82" s="3">
        <v>29</v>
      </c>
      <c r="N82" s="3">
        <v>29</v>
      </c>
      <c r="O82" s="3">
        <v>9.546875</v>
      </c>
      <c r="P82" s="3">
        <v>27.5</v>
      </c>
      <c r="Q82" s="3">
        <v>29</v>
      </c>
      <c r="R82" s="3">
        <v>51.708331999999999</v>
      </c>
    </row>
    <row r="83" spans="2:18" x14ac:dyDescent="0.25">
      <c r="B83" s="3" t="s">
        <v>88</v>
      </c>
      <c r="C83" s="3">
        <v>70</v>
      </c>
      <c r="D83" s="3">
        <v>0</v>
      </c>
      <c r="E83" s="3">
        <v>61</v>
      </c>
      <c r="F83" s="3">
        <v>38.888888999999999</v>
      </c>
      <c r="G83" s="3">
        <v>70</v>
      </c>
      <c r="H83" s="3">
        <v>68</v>
      </c>
      <c r="I83" s="3">
        <v>70</v>
      </c>
      <c r="J83" s="3">
        <v>69</v>
      </c>
      <c r="K83" s="3">
        <v>17.5</v>
      </c>
      <c r="L83" s="3">
        <v>70</v>
      </c>
      <c r="M83" s="3">
        <v>70</v>
      </c>
      <c r="N83" s="3">
        <v>70</v>
      </c>
      <c r="O83" s="3">
        <v>17.5</v>
      </c>
      <c r="P83" s="3">
        <v>59</v>
      </c>
      <c r="Q83" s="3">
        <v>70</v>
      </c>
      <c r="R83" s="3">
        <v>33.887523999999999</v>
      </c>
    </row>
    <row r="84" spans="2:18" x14ac:dyDescent="0.25">
      <c r="B84" s="3" t="s">
        <v>89</v>
      </c>
      <c r="C84" s="3">
        <v>57.038499999999999</v>
      </c>
      <c r="D84" s="3">
        <v>18.461500000000001</v>
      </c>
      <c r="E84" s="3">
        <v>50.538460000000001</v>
      </c>
      <c r="F84" s="3">
        <v>40.384616999999999</v>
      </c>
      <c r="G84" s="3">
        <v>55.846153000000001</v>
      </c>
      <c r="H84" s="3">
        <v>55.038460000000001</v>
      </c>
      <c r="I84" s="3">
        <v>55.346153000000001</v>
      </c>
      <c r="J84" s="3">
        <v>57.038460000000001</v>
      </c>
      <c r="K84" s="3">
        <v>39.115386999999998</v>
      </c>
      <c r="L84" s="3">
        <v>55.846153000000001</v>
      </c>
      <c r="M84" s="3">
        <v>56.538460000000001</v>
      </c>
      <c r="N84" s="3">
        <v>56.538460000000001</v>
      </c>
      <c r="O84" s="3">
        <v>39.115386999999998</v>
      </c>
      <c r="P84" s="3">
        <v>37</v>
      </c>
      <c r="Q84" s="3">
        <v>38.5</v>
      </c>
      <c r="R84" s="3">
        <v>29</v>
      </c>
    </row>
    <row r="85" spans="2:18" x14ac:dyDescent="0.25">
      <c r="B85" s="3" t="s">
        <v>90</v>
      </c>
      <c r="C85" s="3">
        <v>76.220600000000005</v>
      </c>
      <c r="D85" s="3">
        <v>26.838799999999999</v>
      </c>
      <c r="E85" s="3">
        <v>57.252372999999999</v>
      </c>
      <c r="F85" s="3">
        <v>31.739955999999999</v>
      </c>
      <c r="G85" s="3">
        <v>78.252373000000006</v>
      </c>
      <c r="H85" s="3">
        <v>79.797661000000005</v>
      </c>
      <c r="I85" s="3">
        <v>79.584732000000002</v>
      </c>
      <c r="J85" s="3">
        <v>80.752373000000006</v>
      </c>
      <c r="K85" s="3">
        <v>55.086922000000001</v>
      </c>
      <c r="L85" s="3">
        <v>77.017532000000003</v>
      </c>
      <c r="M85" s="3">
        <v>81.252373000000006</v>
      </c>
      <c r="N85" s="3">
        <v>75.352813999999995</v>
      </c>
      <c r="O85" s="3">
        <v>57.996346000000003</v>
      </c>
      <c r="P85" s="3">
        <v>45.255294999999997</v>
      </c>
      <c r="Q85" s="3">
        <v>65.555153000000004</v>
      </c>
      <c r="R85" s="3">
        <v>70</v>
      </c>
    </row>
    <row r="86" spans="2:18" x14ac:dyDescent="0.25">
      <c r="B86" s="3" t="s">
        <v>91</v>
      </c>
      <c r="C86" s="3">
        <v>82.005399999999995</v>
      </c>
      <c r="D86" s="3">
        <v>7.1165000000000003</v>
      </c>
      <c r="E86" s="3">
        <v>67.408439999999999</v>
      </c>
      <c r="F86" s="3">
        <v>64.548157000000003</v>
      </c>
      <c r="G86" s="3">
        <v>80.0214</v>
      </c>
      <c r="H86" s="3">
        <v>82.382285999999993</v>
      </c>
      <c r="I86" s="3">
        <v>77.392982000000003</v>
      </c>
      <c r="J86" s="3">
        <v>80.392982000000003</v>
      </c>
      <c r="K86" s="3">
        <v>42.382286000000001</v>
      </c>
      <c r="L86" s="3">
        <v>85.014861999999994</v>
      </c>
      <c r="M86" s="3">
        <v>86.887039000000001</v>
      </c>
      <c r="N86" s="3">
        <v>86.887039000000001</v>
      </c>
      <c r="O86" s="3">
        <v>51.509514000000003</v>
      </c>
      <c r="P86" s="3">
        <v>54.375145000000003</v>
      </c>
      <c r="Q86" s="3">
        <v>61.875145000000003</v>
      </c>
      <c r="R86" s="3">
        <v>57.038499999999999</v>
      </c>
    </row>
    <row r="87" spans="2:18" x14ac:dyDescent="0.25">
      <c r="B87" s="3" t="s">
        <v>92</v>
      </c>
      <c r="C87" s="3">
        <v>92.92</v>
      </c>
      <c r="D87" s="3">
        <v>0</v>
      </c>
      <c r="E87" s="3">
        <v>100</v>
      </c>
      <c r="F87" s="3">
        <v>0</v>
      </c>
      <c r="G87" s="3">
        <v>113.18</v>
      </c>
      <c r="H87" s="3">
        <v>120.064438</v>
      </c>
      <c r="I87" s="3">
        <v>119.111115</v>
      </c>
      <c r="J87" s="3">
        <v>120.18</v>
      </c>
      <c r="K87" s="3">
        <v>84.820007000000004</v>
      </c>
      <c r="L87" s="3">
        <v>121.18</v>
      </c>
      <c r="M87" s="3">
        <v>120.611115</v>
      </c>
      <c r="N87" s="3">
        <v>118.957779</v>
      </c>
      <c r="O87" s="3">
        <v>87.957779000000002</v>
      </c>
      <c r="P87" s="3">
        <v>46.324447999999997</v>
      </c>
      <c r="Q87" s="3">
        <v>85.277771000000001</v>
      </c>
      <c r="R87" s="3">
        <v>81.252373000000006</v>
      </c>
    </row>
    <row r="88" spans="2:18" x14ac:dyDescent="0.25">
      <c r="B88" s="3" t="s">
        <v>93</v>
      </c>
      <c r="C88" s="3">
        <v>100.6588</v>
      </c>
      <c r="D88" s="3">
        <v>10.8034</v>
      </c>
      <c r="E88" s="3">
        <v>74.492439000000005</v>
      </c>
      <c r="F88" s="3">
        <v>0</v>
      </c>
      <c r="G88" s="3">
        <v>100.357277</v>
      </c>
      <c r="H88" s="3">
        <v>97.857276999999996</v>
      </c>
      <c r="I88" s="3">
        <v>98.236298000000005</v>
      </c>
      <c r="J88" s="3">
        <v>101.357277</v>
      </c>
      <c r="K88" s="3">
        <v>73.259925999999993</v>
      </c>
      <c r="L88" s="3">
        <v>100.65879099999999</v>
      </c>
      <c r="M88" s="3">
        <v>102.357277</v>
      </c>
      <c r="N88" s="3">
        <v>102.357277</v>
      </c>
      <c r="O88" s="3">
        <v>73.259925999999993</v>
      </c>
      <c r="P88" s="3">
        <v>77</v>
      </c>
      <c r="Q88" s="3">
        <v>80.5</v>
      </c>
      <c r="R88" s="3">
        <v>86.887039000000001</v>
      </c>
    </row>
    <row r="89" spans="2:18" x14ac:dyDescent="0.25">
      <c r="B89" s="3" t="s">
        <v>94</v>
      </c>
      <c r="C89" s="3">
        <v>144.90629999999999</v>
      </c>
      <c r="D89" s="3">
        <v>0</v>
      </c>
      <c r="E89" s="3">
        <v>127.525879</v>
      </c>
      <c r="F89" s="3">
        <v>0</v>
      </c>
      <c r="G89" s="3">
        <v>157.959473</v>
      </c>
      <c r="H89" s="3">
        <v>154.506348</v>
      </c>
      <c r="I89" s="3">
        <v>157.506348</v>
      </c>
      <c r="J89" s="3">
        <v>158.006348</v>
      </c>
      <c r="K89" s="3">
        <v>123.32666</v>
      </c>
      <c r="L89" s="3">
        <v>154.959473</v>
      </c>
      <c r="M89" s="3">
        <v>145.66601600000001</v>
      </c>
      <c r="N89" s="3">
        <v>157.75976600000001</v>
      </c>
      <c r="O89" s="3">
        <v>134.525879</v>
      </c>
      <c r="P89" s="3">
        <v>102</v>
      </c>
      <c r="Q89" s="3">
        <v>113</v>
      </c>
      <c r="R89" s="3">
        <v>121.18</v>
      </c>
    </row>
    <row r="90" spans="2:18" x14ac:dyDescent="0.25">
      <c r="B90" s="3" t="s">
        <v>95</v>
      </c>
      <c r="C90" s="3">
        <v>124.49379999999999</v>
      </c>
      <c r="D90" s="3">
        <v>41.701000000000001</v>
      </c>
      <c r="E90" s="3">
        <v>61.122771999999998</v>
      </c>
      <c r="F90" s="3">
        <v>0</v>
      </c>
      <c r="G90" s="3">
        <v>127.111115</v>
      </c>
      <c r="H90" s="3">
        <v>124.64952099999999</v>
      </c>
      <c r="I90" s="3">
        <v>131.15568500000001</v>
      </c>
      <c r="J90" s="3">
        <v>127.64952099999999</v>
      </c>
      <c r="K90" s="3">
        <v>101.283264</v>
      </c>
      <c r="L90" s="3">
        <v>127.64952099999999</v>
      </c>
      <c r="M90" s="3">
        <v>128.61111500000001</v>
      </c>
      <c r="N90" s="3">
        <v>128.61111500000001</v>
      </c>
      <c r="O90" s="3">
        <v>101.283264</v>
      </c>
      <c r="P90" s="3">
        <v>60.5</v>
      </c>
      <c r="Q90" s="3">
        <v>100.16598500000001</v>
      </c>
      <c r="R90" s="3">
        <v>102.357277</v>
      </c>
    </row>
    <row r="91" spans="2:18" x14ac:dyDescent="0.25">
      <c r="B91" s="3" t="s">
        <v>96</v>
      </c>
      <c r="C91" s="3">
        <v>150.55350000000001</v>
      </c>
      <c r="D91" s="3">
        <v>0</v>
      </c>
      <c r="E91" s="3">
        <v>136.714035</v>
      </c>
      <c r="F91" s="3">
        <v>65.856125000000006</v>
      </c>
      <c r="G91" s="3">
        <v>155.87039200000001</v>
      </c>
      <c r="H91" s="3">
        <v>155.87039200000001</v>
      </c>
      <c r="I91" s="3">
        <v>149.64863600000001</v>
      </c>
      <c r="J91" s="3">
        <v>159.14863600000001</v>
      </c>
      <c r="K91" s="3">
        <v>122.053513</v>
      </c>
      <c r="L91" s="3">
        <v>156.14863600000001</v>
      </c>
      <c r="M91" s="3">
        <v>156.87039200000001</v>
      </c>
      <c r="N91" s="3">
        <v>160.37039200000001</v>
      </c>
      <c r="O91" s="3">
        <v>122.053513</v>
      </c>
      <c r="P91" s="3">
        <v>115.005951</v>
      </c>
      <c r="Q91" s="3">
        <v>133.28715500000001</v>
      </c>
      <c r="R91" s="3">
        <v>158.006348</v>
      </c>
    </row>
    <row r="92" spans="2:18" x14ac:dyDescent="0.25">
      <c r="B92" s="3" t="s">
        <v>97</v>
      </c>
      <c r="C92" s="3">
        <v>155.34379999999999</v>
      </c>
      <c r="D92" s="3">
        <v>0</v>
      </c>
      <c r="E92" s="3">
        <v>123.875</v>
      </c>
      <c r="F92" s="3">
        <v>92.944443000000007</v>
      </c>
      <c r="G92" s="3">
        <v>151.777771</v>
      </c>
      <c r="H92" s="3">
        <v>151.84375</v>
      </c>
      <c r="I92" s="3">
        <v>144.84375</v>
      </c>
      <c r="J92" s="3">
        <v>155.31944300000001</v>
      </c>
      <c r="K92" s="3">
        <v>116.704865</v>
      </c>
      <c r="L92" s="3">
        <v>154.777771</v>
      </c>
      <c r="M92" s="3">
        <v>154.621521</v>
      </c>
      <c r="N92" s="3">
        <v>155.34375</v>
      </c>
      <c r="O92" s="3">
        <v>120.31944300000001</v>
      </c>
      <c r="P92" s="3">
        <v>103.5</v>
      </c>
      <c r="Q92" s="3">
        <v>143.5</v>
      </c>
      <c r="R92" s="3">
        <v>131.15568500000001</v>
      </c>
    </row>
    <row r="93" spans="2:18" x14ac:dyDescent="0.25">
      <c r="B93" s="3" t="s">
        <v>98</v>
      </c>
      <c r="C93" s="3">
        <v>106.8075</v>
      </c>
      <c r="D93" s="3">
        <v>0</v>
      </c>
      <c r="E93" s="3">
        <v>80.619110000000006</v>
      </c>
      <c r="F93" s="3">
        <v>55.386425000000003</v>
      </c>
      <c r="G93" s="3">
        <v>106.50415</v>
      </c>
      <c r="H93" s="3">
        <v>99.441833000000003</v>
      </c>
      <c r="I93" s="3">
        <v>100.229919</v>
      </c>
      <c r="J93" s="3">
        <v>110.00415</v>
      </c>
      <c r="K93" s="3">
        <v>80.441833000000003</v>
      </c>
      <c r="L93" s="3">
        <v>106.50415</v>
      </c>
      <c r="M93" s="3">
        <v>110.00415</v>
      </c>
      <c r="N93" s="3">
        <v>105.50415</v>
      </c>
      <c r="O93" s="3">
        <v>91.941833000000003</v>
      </c>
      <c r="P93" s="3">
        <v>30.581710999999999</v>
      </c>
      <c r="Q93" s="3">
        <v>86.807479999999998</v>
      </c>
      <c r="R93" s="3">
        <v>160.37039200000001</v>
      </c>
    </row>
    <row r="94" spans="2:18" x14ac:dyDescent="0.25">
      <c r="B94" s="3" t="s">
        <v>99</v>
      </c>
      <c r="C94" s="3">
        <v>131.60759999999999</v>
      </c>
      <c r="D94" s="3">
        <v>27.153400000000001</v>
      </c>
      <c r="E94" s="3">
        <v>121.394974</v>
      </c>
      <c r="F94" s="3">
        <v>143.888687</v>
      </c>
      <c r="G94" s="3">
        <v>159.94490099999999</v>
      </c>
      <c r="H94" s="3">
        <v>152.44490099999999</v>
      </c>
      <c r="I94" s="3">
        <v>156.370926</v>
      </c>
      <c r="J94" s="3">
        <v>160.699341</v>
      </c>
      <c r="K94" s="3">
        <v>130.1875</v>
      </c>
      <c r="L94" s="3">
        <v>159.94490099999999</v>
      </c>
      <c r="M94" s="3">
        <v>158.39497399999999</v>
      </c>
      <c r="N94" s="3">
        <v>159.199341</v>
      </c>
      <c r="O94" s="3">
        <v>129.6875</v>
      </c>
      <c r="P94" s="3">
        <v>91.877212999999998</v>
      </c>
      <c r="Q94" s="3">
        <v>109.930099</v>
      </c>
      <c r="R94" s="3">
        <v>155.34379999999999</v>
      </c>
    </row>
    <row r="95" spans="2:18" x14ac:dyDescent="0.25">
      <c r="B95" s="3" t="s">
        <v>100</v>
      </c>
      <c r="C95" s="3">
        <v>46</v>
      </c>
      <c r="D95" s="3">
        <v>0</v>
      </c>
      <c r="E95" s="3">
        <v>40.5</v>
      </c>
      <c r="F95" s="3">
        <v>27.222221000000001</v>
      </c>
      <c r="G95" s="3">
        <v>44</v>
      </c>
      <c r="H95" s="3">
        <v>45</v>
      </c>
      <c r="I95" s="3">
        <v>44</v>
      </c>
      <c r="J95" s="3">
        <v>45</v>
      </c>
      <c r="K95" s="3">
        <v>0</v>
      </c>
      <c r="L95" s="3">
        <v>44</v>
      </c>
      <c r="M95" s="3">
        <v>46</v>
      </c>
      <c r="N95" s="3">
        <v>45</v>
      </c>
      <c r="O95" s="3">
        <v>0</v>
      </c>
      <c r="P95" s="3">
        <v>33</v>
      </c>
      <c r="Q95" s="3">
        <v>40</v>
      </c>
      <c r="R95" s="3">
        <v>110.00415</v>
      </c>
    </row>
    <row r="96" spans="2:18" x14ac:dyDescent="0.25">
      <c r="B96" s="3" t="s">
        <v>101</v>
      </c>
      <c r="C96" s="3">
        <v>79.64</v>
      </c>
      <c r="D96" s="3">
        <v>15.96</v>
      </c>
      <c r="E96" s="3">
        <v>74.160004000000001</v>
      </c>
      <c r="F96" s="3">
        <v>30.24</v>
      </c>
      <c r="G96" s="3">
        <v>79.639999000000003</v>
      </c>
      <c r="H96" s="3">
        <v>76.160004000000001</v>
      </c>
      <c r="I96" s="3">
        <v>77.639999000000003</v>
      </c>
      <c r="J96" s="3">
        <v>77.639999000000003</v>
      </c>
      <c r="K96" s="3">
        <v>23.639999</v>
      </c>
      <c r="L96" s="3">
        <v>79.639999000000003</v>
      </c>
      <c r="M96" s="3">
        <v>79.639999000000003</v>
      </c>
      <c r="N96" s="3">
        <v>79.639999000000003</v>
      </c>
      <c r="O96" s="3">
        <v>23.639999</v>
      </c>
      <c r="P96" s="3">
        <v>69.5</v>
      </c>
      <c r="Q96" s="3">
        <v>64</v>
      </c>
      <c r="R96" s="3">
        <v>160.699341</v>
      </c>
    </row>
    <row r="97" spans="2:18" x14ac:dyDescent="0.25">
      <c r="B97" s="3" t="s">
        <v>102</v>
      </c>
      <c r="C97" s="3">
        <v>46.646700000000003</v>
      </c>
      <c r="D97" s="3">
        <v>6.1867000000000001</v>
      </c>
      <c r="E97" s="3">
        <v>46.646667000000001</v>
      </c>
      <c r="F97" s="3">
        <v>44.586666000000001</v>
      </c>
      <c r="G97" s="3">
        <v>46.646667000000001</v>
      </c>
      <c r="H97" s="3">
        <v>44.646667000000001</v>
      </c>
      <c r="I97" s="3">
        <v>46.646667000000001</v>
      </c>
      <c r="J97" s="3">
        <v>46.646667000000001</v>
      </c>
      <c r="K97" s="3">
        <v>30.786667000000001</v>
      </c>
      <c r="L97" s="3">
        <v>46.646667000000001</v>
      </c>
      <c r="M97" s="3">
        <v>46.646667000000001</v>
      </c>
      <c r="N97" s="3">
        <v>46.646667000000001</v>
      </c>
      <c r="O97" s="3">
        <v>30.786667000000001</v>
      </c>
      <c r="P97" s="3">
        <v>4.5</v>
      </c>
      <c r="Q97" s="3">
        <v>29.5</v>
      </c>
      <c r="R97" s="3">
        <v>46</v>
      </c>
    </row>
    <row r="98" spans="2:18" x14ac:dyDescent="0.25">
      <c r="B98" s="3" t="s">
        <v>103</v>
      </c>
      <c r="C98" s="3">
        <v>23</v>
      </c>
      <c r="D98" s="3">
        <v>0</v>
      </c>
      <c r="E98" s="3">
        <v>23</v>
      </c>
      <c r="F98" s="3">
        <v>0</v>
      </c>
      <c r="G98" s="3">
        <v>23</v>
      </c>
      <c r="H98" s="3">
        <v>22.5</v>
      </c>
      <c r="I98" s="3">
        <v>21.5</v>
      </c>
      <c r="J98" s="3">
        <v>23</v>
      </c>
      <c r="K98" s="3">
        <v>0</v>
      </c>
      <c r="L98" s="3">
        <v>23</v>
      </c>
      <c r="M98" s="3">
        <v>23</v>
      </c>
      <c r="N98" s="3">
        <v>23</v>
      </c>
      <c r="O98" s="3">
        <v>0</v>
      </c>
      <c r="P98" s="3">
        <v>10</v>
      </c>
      <c r="Q98" s="3">
        <v>19.5</v>
      </c>
      <c r="R98" s="3">
        <v>79.64</v>
      </c>
    </row>
    <row r="99" spans="2:18" x14ac:dyDescent="0.25">
      <c r="B99" s="3" t="s">
        <v>104</v>
      </c>
      <c r="C99" s="3">
        <v>61.328299999999999</v>
      </c>
      <c r="D99" s="3">
        <v>32.975000000000001</v>
      </c>
      <c r="E99" s="3">
        <v>50.813018999999997</v>
      </c>
      <c r="F99" s="3">
        <v>61.313018999999997</v>
      </c>
      <c r="G99" s="3">
        <v>61.313018999999997</v>
      </c>
      <c r="H99" s="3">
        <v>59.454292000000002</v>
      </c>
      <c r="I99" s="3">
        <v>61.328254999999999</v>
      </c>
      <c r="J99" s="3">
        <v>60.813018999999997</v>
      </c>
      <c r="K99" s="3">
        <v>34.752079000000002</v>
      </c>
      <c r="L99" s="3">
        <v>61.313018999999997</v>
      </c>
      <c r="M99" s="3">
        <v>61.328254999999999</v>
      </c>
      <c r="N99" s="3">
        <v>61.328254999999999</v>
      </c>
      <c r="O99" s="3">
        <v>34.752079000000002</v>
      </c>
      <c r="P99" s="3">
        <v>22</v>
      </c>
      <c r="Q99" s="3">
        <v>33.5</v>
      </c>
      <c r="R99" s="3">
        <v>46.646700000000003</v>
      </c>
    </row>
    <row r="100" spans="2:18" x14ac:dyDescent="0.25">
      <c r="B100" s="3" t="s">
        <v>105</v>
      </c>
      <c r="C100" s="3">
        <v>33.906300000000002</v>
      </c>
      <c r="D100" s="3">
        <v>6.6284999999999998</v>
      </c>
      <c r="E100" s="3">
        <v>26.90625</v>
      </c>
      <c r="F100" s="3">
        <v>23.055554999999998</v>
      </c>
      <c r="G100" s="3">
        <v>32.90625</v>
      </c>
      <c r="H100" s="3">
        <v>32.888888999999999</v>
      </c>
      <c r="I100" s="3">
        <v>31.125</v>
      </c>
      <c r="J100" s="3">
        <v>33.90625</v>
      </c>
      <c r="K100" s="3">
        <v>0</v>
      </c>
      <c r="L100" s="3">
        <v>33.40625</v>
      </c>
      <c r="M100" s="3">
        <v>33.90625</v>
      </c>
      <c r="N100" s="3">
        <v>33.90625</v>
      </c>
      <c r="O100" s="3">
        <v>0</v>
      </c>
      <c r="P100" s="3">
        <v>14.5</v>
      </c>
      <c r="Q100" s="3">
        <v>17</v>
      </c>
      <c r="R100" s="3">
        <v>23</v>
      </c>
    </row>
    <row r="101" spans="2:18" x14ac:dyDescent="0.25">
      <c r="B101" s="3" t="s">
        <v>106</v>
      </c>
      <c r="C101" s="3">
        <v>64.031300000000002</v>
      </c>
      <c r="D101" s="3">
        <v>16.7578</v>
      </c>
      <c r="E101" s="3">
        <v>49.017578</v>
      </c>
      <c r="F101" s="3">
        <v>53.125</v>
      </c>
      <c r="G101" s="3">
        <v>62.03125</v>
      </c>
      <c r="H101" s="3">
        <v>61.53125</v>
      </c>
      <c r="I101" s="3">
        <v>63.486328</v>
      </c>
      <c r="J101" s="3">
        <v>63.486328</v>
      </c>
      <c r="K101" s="3">
        <v>22.882812999999999</v>
      </c>
      <c r="L101" s="3">
        <v>62.03125</v>
      </c>
      <c r="M101" s="3">
        <v>63.986328</v>
      </c>
      <c r="N101" s="3">
        <v>63.53125</v>
      </c>
      <c r="O101" s="3">
        <v>22.882812999999999</v>
      </c>
      <c r="P101" s="3">
        <v>29</v>
      </c>
      <c r="Q101" s="3">
        <v>25.5</v>
      </c>
      <c r="R101" s="3">
        <v>61.328299999999999</v>
      </c>
    </row>
    <row r="102" spans="2:18" x14ac:dyDescent="0.25">
      <c r="B102" s="3" t="s">
        <v>107</v>
      </c>
      <c r="C102" s="3">
        <v>73.28</v>
      </c>
      <c r="D102" s="3">
        <v>10.3756</v>
      </c>
      <c r="E102" s="3">
        <v>49.068885999999999</v>
      </c>
      <c r="F102" s="3">
        <v>67.620002999999997</v>
      </c>
      <c r="G102" s="3">
        <v>71.555556999999993</v>
      </c>
      <c r="H102" s="3">
        <v>71.779999000000004</v>
      </c>
      <c r="I102" s="3">
        <v>71.775558000000004</v>
      </c>
      <c r="J102" s="3">
        <v>72.779999000000004</v>
      </c>
      <c r="K102" s="3">
        <v>0</v>
      </c>
      <c r="L102" s="3">
        <v>72.275558000000004</v>
      </c>
      <c r="M102" s="3">
        <v>73.068886000000006</v>
      </c>
      <c r="N102" s="3">
        <v>73.068886000000006</v>
      </c>
      <c r="O102" s="3">
        <v>0</v>
      </c>
      <c r="P102" s="3">
        <v>31.5</v>
      </c>
      <c r="Q102" s="3">
        <v>46</v>
      </c>
      <c r="R102" s="3">
        <v>33.906300000000002</v>
      </c>
    </row>
    <row r="103" spans="2:18" x14ac:dyDescent="0.25">
      <c r="B103" s="3" t="s">
        <v>108</v>
      </c>
      <c r="C103" s="3">
        <v>64.3</v>
      </c>
      <c r="D103" s="3">
        <v>13.3</v>
      </c>
      <c r="E103" s="3">
        <v>38.299999</v>
      </c>
      <c r="F103" s="3">
        <v>52.5</v>
      </c>
      <c r="G103" s="3">
        <v>61.700001</v>
      </c>
      <c r="H103" s="3">
        <v>61.199997000000003</v>
      </c>
      <c r="I103" s="3">
        <v>62.300002999999997</v>
      </c>
      <c r="J103" s="3">
        <v>62.300002999999997</v>
      </c>
      <c r="K103" s="3">
        <v>0</v>
      </c>
      <c r="L103" s="3">
        <v>58.700001</v>
      </c>
      <c r="M103" s="3">
        <v>62.699997000000003</v>
      </c>
      <c r="N103" s="3">
        <v>63.800002999999997</v>
      </c>
      <c r="O103" s="3">
        <v>0</v>
      </c>
      <c r="P103" s="3">
        <v>40.5</v>
      </c>
      <c r="Q103" s="3">
        <v>57</v>
      </c>
      <c r="R103" s="3">
        <v>64.031300000000002</v>
      </c>
    </row>
    <row r="104" spans="2:18" x14ac:dyDescent="0.25">
      <c r="B104" s="3" t="s">
        <v>109</v>
      </c>
      <c r="C104" s="3">
        <v>34.5</v>
      </c>
      <c r="D104" s="3">
        <v>0</v>
      </c>
      <c r="E104" s="3">
        <v>34.5</v>
      </c>
      <c r="F104" s="3">
        <v>0</v>
      </c>
      <c r="G104" s="3">
        <v>34.5</v>
      </c>
      <c r="H104" s="3">
        <v>33.5</v>
      </c>
      <c r="I104" s="3">
        <v>34.5</v>
      </c>
      <c r="J104" s="3">
        <v>34.5</v>
      </c>
      <c r="K104" s="3">
        <v>0</v>
      </c>
      <c r="L104" s="3">
        <v>34.5</v>
      </c>
      <c r="M104" s="3">
        <v>34.5</v>
      </c>
      <c r="N104" s="3">
        <v>34.5</v>
      </c>
      <c r="O104" s="3">
        <v>0</v>
      </c>
      <c r="P104" s="3">
        <v>32.5</v>
      </c>
      <c r="Q104" s="3">
        <v>30.5</v>
      </c>
      <c r="R104" s="3">
        <v>73.28</v>
      </c>
    </row>
    <row r="105" spans="2:18" x14ac:dyDescent="0.25">
      <c r="B105" s="3" t="s">
        <v>110</v>
      </c>
      <c r="C105" s="3">
        <v>8.5</v>
      </c>
      <c r="D105" s="3">
        <v>8.5</v>
      </c>
      <c r="E105" s="3">
        <v>8.5</v>
      </c>
      <c r="F105" s="3">
        <v>8.5</v>
      </c>
      <c r="G105" s="3">
        <v>8.5</v>
      </c>
      <c r="H105" s="3">
        <v>8.5</v>
      </c>
      <c r="I105" s="3">
        <v>8.5</v>
      </c>
      <c r="J105" s="3">
        <v>8.5</v>
      </c>
      <c r="K105" s="3">
        <v>0</v>
      </c>
      <c r="L105" s="3">
        <v>8.5</v>
      </c>
      <c r="M105" s="3">
        <v>8.5</v>
      </c>
      <c r="N105" s="3">
        <v>8.5</v>
      </c>
      <c r="O105" s="3">
        <v>0</v>
      </c>
      <c r="P105" s="3">
        <v>8.5</v>
      </c>
      <c r="Q105" s="3">
        <v>8.5</v>
      </c>
      <c r="R105" s="3">
        <v>64.3</v>
      </c>
    </row>
    <row r="106" spans="2:18" x14ac:dyDescent="0.25">
      <c r="B106" s="3" t="s">
        <v>111</v>
      </c>
      <c r="C106" s="3">
        <v>33.5</v>
      </c>
      <c r="D106" s="3">
        <v>25.125</v>
      </c>
      <c r="E106" s="3">
        <v>25.5</v>
      </c>
      <c r="F106" s="3">
        <v>0</v>
      </c>
      <c r="G106" s="3">
        <v>33.5</v>
      </c>
      <c r="H106" s="3">
        <v>33</v>
      </c>
      <c r="I106" s="3">
        <v>33.5</v>
      </c>
      <c r="J106" s="3">
        <v>33.5</v>
      </c>
      <c r="K106" s="3">
        <v>0</v>
      </c>
      <c r="L106" s="3">
        <v>33.5</v>
      </c>
      <c r="M106" s="3">
        <v>33.5</v>
      </c>
      <c r="N106" s="3">
        <v>33.5</v>
      </c>
      <c r="O106" s="3">
        <v>0</v>
      </c>
      <c r="P106" s="3">
        <v>25</v>
      </c>
      <c r="Q106" s="3">
        <v>33.5</v>
      </c>
      <c r="R106" s="3">
        <v>34.5</v>
      </c>
    </row>
    <row r="107" spans="2:18" x14ac:dyDescent="0.25">
      <c r="B107" s="3" t="s">
        <v>112</v>
      </c>
      <c r="C107" s="3">
        <v>38.906300000000002</v>
      </c>
      <c r="D107" s="3">
        <v>9.7265999999999995</v>
      </c>
      <c r="E107" s="3">
        <v>35.90625</v>
      </c>
      <c r="F107" s="3">
        <v>25.289062999999999</v>
      </c>
      <c r="G107" s="3">
        <v>38.40625</v>
      </c>
      <c r="H107" s="3">
        <v>33.90625</v>
      </c>
      <c r="I107" s="3">
        <v>38.90625</v>
      </c>
      <c r="J107" s="3">
        <v>36.851562999999999</v>
      </c>
      <c r="K107" s="3">
        <v>0</v>
      </c>
      <c r="L107" s="3">
        <v>38.90625</v>
      </c>
      <c r="M107" s="3">
        <v>38.90625</v>
      </c>
      <c r="N107" s="3">
        <v>38.90625</v>
      </c>
      <c r="O107" s="3">
        <v>0</v>
      </c>
      <c r="P107" s="3">
        <v>7.5</v>
      </c>
      <c r="Q107" s="3">
        <v>24.5</v>
      </c>
      <c r="R107" s="3">
        <v>8.5</v>
      </c>
    </row>
    <row r="108" spans="2:18" x14ac:dyDescent="0.25">
      <c r="B108" s="3" t="s">
        <v>113</v>
      </c>
      <c r="C108" s="3">
        <v>13.504099999999999</v>
      </c>
      <c r="D108" s="3">
        <v>2.6032999999999999</v>
      </c>
      <c r="E108" s="3">
        <v>2.9008259999999999</v>
      </c>
      <c r="F108" s="3">
        <v>11.900826</v>
      </c>
      <c r="G108" s="3">
        <v>13.384297</v>
      </c>
      <c r="H108" s="3">
        <v>13.016529</v>
      </c>
      <c r="I108" s="3">
        <v>13.504132</v>
      </c>
      <c r="J108" s="3">
        <v>13.384297</v>
      </c>
      <c r="K108" s="3">
        <v>0</v>
      </c>
      <c r="L108" s="3">
        <v>13.384297</v>
      </c>
      <c r="M108" s="3">
        <v>13.504132</v>
      </c>
      <c r="N108" s="3">
        <v>13.504132</v>
      </c>
      <c r="O108" s="3">
        <v>0</v>
      </c>
      <c r="P108" s="3">
        <v>8.5</v>
      </c>
      <c r="Q108" s="3">
        <v>2.5</v>
      </c>
      <c r="R108" s="3">
        <v>33.5</v>
      </c>
    </row>
    <row r="109" spans="2:18" x14ac:dyDescent="0.25">
      <c r="B109" s="3" t="s">
        <v>114</v>
      </c>
      <c r="C109" s="3">
        <v>31.184999999999999</v>
      </c>
      <c r="D109" s="3">
        <v>11.34</v>
      </c>
      <c r="E109" s="3">
        <v>25.74</v>
      </c>
      <c r="F109" s="3">
        <v>26.459999</v>
      </c>
      <c r="G109" s="3">
        <v>31.184999000000001</v>
      </c>
      <c r="H109" s="3">
        <v>31.184999000000001</v>
      </c>
      <c r="I109" s="3">
        <v>31.184999000000001</v>
      </c>
      <c r="J109" s="3">
        <v>31.184999000000001</v>
      </c>
      <c r="K109" s="3">
        <v>0</v>
      </c>
      <c r="L109" s="3">
        <v>31.184999000000001</v>
      </c>
      <c r="M109" s="3">
        <v>31.184999000000001</v>
      </c>
      <c r="N109" s="3">
        <v>31.184999000000001</v>
      </c>
      <c r="O109" s="3">
        <v>0</v>
      </c>
      <c r="P109" s="3">
        <v>15</v>
      </c>
      <c r="Q109" s="3">
        <v>28.5</v>
      </c>
      <c r="R109" s="3">
        <v>38.906300000000002</v>
      </c>
    </row>
    <row r="110" spans="2:18" x14ac:dyDescent="0.25">
      <c r="B110" s="3" t="s">
        <v>115</v>
      </c>
      <c r="C110" s="3">
        <v>18.5503</v>
      </c>
      <c r="D110" s="3">
        <v>13.491099999999999</v>
      </c>
      <c r="E110" s="3">
        <v>15.550297</v>
      </c>
      <c r="F110" s="3">
        <v>18.050297</v>
      </c>
      <c r="G110" s="3">
        <v>18.550297</v>
      </c>
      <c r="H110" s="3">
        <v>18.050297</v>
      </c>
      <c r="I110" s="3">
        <v>18.550297</v>
      </c>
      <c r="J110" s="3">
        <v>18.050297</v>
      </c>
      <c r="K110" s="3">
        <v>0</v>
      </c>
      <c r="L110" s="3">
        <v>18.550297</v>
      </c>
      <c r="M110" s="3">
        <v>18.550297</v>
      </c>
      <c r="N110" s="3">
        <v>18.550297</v>
      </c>
      <c r="O110" s="3">
        <v>0</v>
      </c>
      <c r="P110" s="3">
        <v>12.5</v>
      </c>
      <c r="Q110" s="3">
        <v>15.5</v>
      </c>
      <c r="R110" s="3">
        <v>13.504132</v>
      </c>
    </row>
    <row r="111" spans="2:18" x14ac:dyDescent="0.25">
      <c r="B111" s="3" t="s">
        <v>116</v>
      </c>
      <c r="C111" s="3">
        <v>28.5</v>
      </c>
      <c r="D111" s="3">
        <v>5.2065999999999999</v>
      </c>
      <c r="E111" s="3">
        <v>11.533058</v>
      </c>
      <c r="F111" s="3">
        <v>21.074380999999999</v>
      </c>
      <c r="G111" s="3">
        <v>28.5</v>
      </c>
      <c r="H111" s="3">
        <v>26.5</v>
      </c>
      <c r="I111" s="3">
        <v>28.5</v>
      </c>
      <c r="J111" s="3">
        <v>28.5</v>
      </c>
      <c r="K111" s="3">
        <v>0</v>
      </c>
      <c r="L111" s="3">
        <v>28.5</v>
      </c>
      <c r="M111" s="3">
        <v>28.5</v>
      </c>
      <c r="N111" s="3">
        <v>28.5</v>
      </c>
      <c r="O111" s="3">
        <v>0</v>
      </c>
      <c r="P111" s="3">
        <v>17</v>
      </c>
      <c r="Q111" s="3">
        <v>26.5</v>
      </c>
      <c r="R111" s="3">
        <v>31.184999999999999</v>
      </c>
    </row>
    <row r="112" spans="2:18" x14ac:dyDescent="0.25">
      <c r="B112" s="3" t="s">
        <v>316</v>
      </c>
      <c r="C112" s="3">
        <v>0</v>
      </c>
      <c r="D112" s="3">
        <v>8.4863</v>
      </c>
      <c r="E112" s="3">
        <v>161.38088999999999</v>
      </c>
      <c r="F112" s="3">
        <v>111.023544</v>
      </c>
      <c r="G112" s="3">
        <v>202.27439899999999</v>
      </c>
      <c r="H112" s="3">
        <v>189.10249300000001</v>
      </c>
      <c r="I112" s="3">
        <v>200.60249300000001</v>
      </c>
      <c r="J112" s="3">
        <v>202.77439899999999</v>
      </c>
      <c r="K112" s="3">
        <v>177.98999000000001</v>
      </c>
      <c r="L112" s="3">
        <v>198.77439899999999</v>
      </c>
      <c r="M112" s="3">
        <v>195.667587</v>
      </c>
      <c r="N112" s="3">
        <v>195.280396</v>
      </c>
      <c r="O112" s="3">
        <v>177.98999000000001</v>
      </c>
      <c r="P112" s="3">
        <v>73.5</v>
      </c>
      <c r="Q112" s="3">
        <v>146.82409699999999</v>
      </c>
      <c r="R112" s="3">
        <v>18.5503</v>
      </c>
    </row>
    <row r="113" spans="2:18" x14ac:dyDescent="0.25">
      <c r="B113" s="3" t="s">
        <v>117</v>
      </c>
      <c r="C113" s="3">
        <v>198.3699</v>
      </c>
      <c r="D113" s="3">
        <v>15.5389</v>
      </c>
      <c r="E113" s="3">
        <v>180.15625</v>
      </c>
      <c r="F113" s="3">
        <v>180.81632999999999</v>
      </c>
      <c r="G113" s="3">
        <v>204.936859</v>
      </c>
      <c r="H113" s="3">
        <v>198.47959900000001</v>
      </c>
      <c r="I113" s="3">
        <v>205.936859</v>
      </c>
      <c r="J113" s="3">
        <v>204.97959900000001</v>
      </c>
      <c r="K113" s="3">
        <v>176.36990399999999</v>
      </c>
      <c r="L113" s="3">
        <v>200.32908599999999</v>
      </c>
      <c r="M113" s="3">
        <v>200.82908599999999</v>
      </c>
      <c r="N113" s="3">
        <v>201.32908599999999</v>
      </c>
      <c r="O113" s="3">
        <v>173.86990399999999</v>
      </c>
      <c r="P113" s="3">
        <v>146</v>
      </c>
      <c r="Q113" s="3">
        <v>166</v>
      </c>
      <c r="R113" s="3">
        <v>28.5</v>
      </c>
    </row>
    <row r="114" spans="2:18" x14ac:dyDescent="0.25">
      <c r="B114" s="3" t="s">
        <v>317</v>
      </c>
      <c r="C114" s="3">
        <v>0</v>
      </c>
      <c r="D114" s="3">
        <v>0</v>
      </c>
      <c r="E114" s="3">
        <v>156.69963100000001</v>
      </c>
      <c r="F114" s="3">
        <v>74.298552999999998</v>
      </c>
      <c r="G114" s="3">
        <v>184.19963100000001</v>
      </c>
      <c r="H114" s="3">
        <v>180.24174500000001</v>
      </c>
      <c r="I114" s="3">
        <v>185.457672</v>
      </c>
      <c r="J114" s="3">
        <v>190.69963100000001</v>
      </c>
      <c r="K114" s="3">
        <v>172.58783</v>
      </c>
      <c r="L114" s="3">
        <v>191.19963100000001</v>
      </c>
      <c r="M114" s="3">
        <v>179.69760099999999</v>
      </c>
      <c r="N114" s="3">
        <v>186.19963100000001</v>
      </c>
      <c r="O114" s="3">
        <v>168.957672</v>
      </c>
      <c r="P114" s="3">
        <v>105.10797100000001</v>
      </c>
      <c r="Q114" s="3">
        <v>158.73788500000001</v>
      </c>
      <c r="R114" s="3">
        <v>202.77439899999999</v>
      </c>
    </row>
    <row r="115" spans="2:18" x14ac:dyDescent="0.25">
      <c r="B115" s="3" t="s">
        <v>118</v>
      </c>
      <c r="C115" s="3">
        <v>23.823799999999999</v>
      </c>
      <c r="D115" s="3">
        <v>15.070499999999999</v>
      </c>
      <c r="E115" s="3">
        <v>201.719604</v>
      </c>
      <c r="F115" s="3">
        <v>15.07053</v>
      </c>
      <c r="G115" s="3">
        <v>256.04101600000001</v>
      </c>
      <c r="H115" s="3">
        <v>253.23199500000001</v>
      </c>
      <c r="I115" s="3">
        <v>266.04513500000002</v>
      </c>
      <c r="J115" s="3">
        <v>264.73199499999998</v>
      </c>
      <c r="K115" s="3">
        <v>220.65387000000001</v>
      </c>
      <c r="L115" s="3">
        <v>254.101563</v>
      </c>
      <c r="M115" s="3">
        <v>250.73199500000001</v>
      </c>
      <c r="N115" s="3">
        <v>259.04101600000001</v>
      </c>
      <c r="O115" s="3">
        <v>213.65387000000001</v>
      </c>
      <c r="P115" s="3">
        <v>125.034058</v>
      </c>
      <c r="Q115" s="3">
        <v>235.30664100000001</v>
      </c>
      <c r="R115" s="3">
        <v>205.936859</v>
      </c>
    </row>
    <row r="116" spans="2:18" x14ac:dyDescent="0.25">
      <c r="B116" s="3" t="s">
        <v>318</v>
      </c>
      <c r="C116" s="3">
        <v>0</v>
      </c>
      <c r="D116" s="3">
        <v>0</v>
      </c>
      <c r="E116" s="3">
        <v>178.58284</v>
      </c>
      <c r="F116" s="3">
        <v>136.76405299999999</v>
      </c>
      <c r="G116" s="3">
        <v>226.13110399999999</v>
      </c>
      <c r="H116" s="3">
        <v>219.63110399999999</v>
      </c>
      <c r="I116" s="3">
        <v>232.31601000000001</v>
      </c>
      <c r="J116" s="3">
        <v>234.83209199999999</v>
      </c>
      <c r="K116" s="3">
        <v>198.57785000000001</v>
      </c>
      <c r="L116" s="3">
        <v>226.33209199999999</v>
      </c>
      <c r="M116" s="3">
        <v>226.21301299999999</v>
      </c>
      <c r="N116" s="3">
        <v>228.83209199999999</v>
      </c>
      <c r="O116" s="3">
        <v>191.21301299999999</v>
      </c>
      <c r="P116" s="3">
        <v>129.263306</v>
      </c>
      <c r="Q116" s="3">
        <v>192.14572100000001</v>
      </c>
      <c r="R116" s="3">
        <v>191.19963100000001</v>
      </c>
    </row>
    <row r="117" spans="2:18" x14ac:dyDescent="0.25">
      <c r="B117" s="3" t="s">
        <v>119</v>
      </c>
      <c r="C117" s="3">
        <v>0</v>
      </c>
      <c r="D117" s="3">
        <v>0</v>
      </c>
      <c r="E117" s="3">
        <v>203.85998499999999</v>
      </c>
      <c r="F117" s="3">
        <v>108.94000200000001</v>
      </c>
      <c r="G117" s="3">
        <v>229.79510500000001</v>
      </c>
      <c r="H117" s="3">
        <v>223.85998499999999</v>
      </c>
      <c r="I117" s="3">
        <v>241.737549</v>
      </c>
      <c r="J117" s="3">
        <v>241.33590699999999</v>
      </c>
      <c r="K117" s="3">
        <v>203.57223500000001</v>
      </c>
      <c r="L117" s="3">
        <v>240.79510500000001</v>
      </c>
      <c r="M117" s="3">
        <v>244.33590699999999</v>
      </c>
      <c r="N117" s="3">
        <v>240.33590699999999</v>
      </c>
      <c r="O117" s="3">
        <v>207.16326900000001</v>
      </c>
      <c r="P117" s="3">
        <v>120.5</v>
      </c>
      <c r="Q117" s="3">
        <v>202.54080200000001</v>
      </c>
      <c r="R117" s="3">
        <v>266.04513500000002</v>
      </c>
    </row>
    <row r="118" spans="2:18" x14ac:dyDescent="0.25">
      <c r="B118" s="3" t="s">
        <v>319</v>
      </c>
      <c r="C118" s="3">
        <v>0</v>
      </c>
      <c r="D118" s="3">
        <v>0</v>
      </c>
      <c r="E118" s="3">
        <v>185.641525</v>
      </c>
      <c r="F118" s="3">
        <v>78.218520999999996</v>
      </c>
      <c r="G118" s="3">
        <v>254.69094799999999</v>
      </c>
      <c r="H118" s="3">
        <v>259.19094799999999</v>
      </c>
      <c r="I118" s="3">
        <v>266.19094799999999</v>
      </c>
      <c r="J118" s="3">
        <v>262.19094799999999</v>
      </c>
      <c r="K118" s="3">
        <v>216.42248499999999</v>
      </c>
      <c r="L118" s="3">
        <v>256.78512599999999</v>
      </c>
      <c r="M118" s="3">
        <v>255.28512599999999</v>
      </c>
      <c r="N118" s="3">
        <v>251.45056199999999</v>
      </c>
      <c r="O118" s="3">
        <v>220.86264</v>
      </c>
      <c r="P118" s="3">
        <v>162.151398</v>
      </c>
      <c r="Q118" s="3">
        <v>249.47970599999999</v>
      </c>
      <c r="R118" s="3">
        <v>234.83209199999999</v>
      </c>
    </row>
    <row r="119" spans="2:18" x14ac:dyDescent="0.25">
      <c r="B119" s="3" t="s">
        <v>320</v>
      </c>
      <c r="C119" s="3">
        <v>0</v>
      </c>
      <c r="D119" s="3">
        <v>0</v>
      </c>
      <c r="E119" s="3">
        <v>211.66326900000001</v>
      </c>
      <c r="F119" s="3">
        <v>12.494579</v>
      </c>
      <c r="G119" s="3">
        <v>267.36447099999998</v>
      </c>
      <c r="H119" s="3">
        <v>262.86447099999998</v>
      </c>
      <c r="I119" s="3">
        <v>275.173157</v>
      </c>
      <c r="J119" s="3">
        <v>264.47448700000001</v>
      </c>
      <c r="K119" s="3">
        <v>225.4375</v>
      </c>
      <c r="L119" s="3">
        <v>269.52932700000002</v>
      </c>
      <c r="M119" s="3">
        <v>273.46905500000003</v>
      </c>
      <c r="N119" s="3">
        <v>256.52932700000002</v>
      </c>
      <c r="O119" s="3">
        <v>218.173157</v>
      </c>
      <c r="P119" s="3">
        <v>140.887451</v>
      </c>
      <c r="Q119" s="3">
        <v>212.484375</v>
      </c>
      <c r="R119" s="3">
        <v>244.33590699999999</v>
      </c>
    </row>
    <row r="120" spans="2:18" x14ac:dyDescent="0.25">
      <c r="B120" s="3" t="s">
        <v>321</v>
      </c>
      <c r="C120" s="3">
        <v>0</v>
      </c>
      <c r="D120" s="3">
        <v>0</v>
      </c>
      <c r="E120" s="3">
        <v>263.03060900000003</v>
      </c>
      <c r="F120" s="3">
        <v>37.864223000000003</v>
      </c>
      <c r="G120" s="3">
        <v>341.11621100000002</v>
      </c>
      <c r="H120" s="3">
        <v>340.11621100000002</v>
      </c>
      <c r="I120" s="3">
        <v>352.80737299999998</v>
      </c>
      <c r="J120" s="3">
        <v>349.55059799999998</v>
      </c>
      <c r="K120" s="3">
        <v>311.12786899999998</v>
      </c>
      <c r="L120" s="3">
        <v>333.05059799999998</v>
      </c>
      <c r="M120" s="3">
        <v>340.05059799999998</v>
      </c>
      <c r="N120" s="3">
        <v>343.61621100000002</v>
      </c>
      <c r="O120" s="3">
        <v>299.62786899999998</v>
      </c>
      <c r="P120" s="3">
        <v>204.400452</v>
      </c>
      <c r="Q120" s="3">
        <v>323.346924</v>
      </c>
      <c r="R120" s="3">
        <v>266.19094799999999</v>
      </c>
    </row>
    <row r="121" spans="2:18" x14ac:dyDescent="0.25">
      <c r="B121" s="3" t="s">
        <v>322</v>
      </c>
      <c r="C121" s="3">
        <v>0</v>
      </c>
      <c r="D121" s="3">
        <v>29.1906</v>
      </c>
      <c r="E121" s="3">
        <v>143.008881</v>
      </c>
      <c r="F121" s="3">
        <v>121.386833</v>
      </c>
      <c r="G121" s="3">
        <v>183.51460299999999</v>
      </c>
      <c r="H121" s="3">
        <v>185.72171</v>
      </c>
      <c r="I121" s="3">
        <v>185.008881</v>
      </c>
      <c r="J121" s="3">
        <v>188.464493</v>
      </c>
      <c r="K121" s="3">
        <v>161.71875</v>
      </c>
      <c r="L121" s="3">
        <v>187.87204</v>
      </c>
      <c r="M121" s="3">
        <v>194.72171</v>
      </c>
      <c r="N121" s="3">
        <v>193.72171</v>
      </c>
      <c r="O121" s="3">
        <v>170.964493</v>
      </c>
      <c r="P121" s="3">
        <v>112.279404</v>
      </c>
      <c r="Q121" s="3">
        <v>158.62721300000001</v>
      </c>
      <c r="R121" s="3">
        <v>275.173157</v>
      </c>
    </row>
    <row r="122" spans="2:18" x14ac:dyDescent="0.25">
      <c r="B122" s="3" t="s">
        <v>120</v>
      </c>
      <c r="C122" s="3">
        <v>60.5</v>
      </c>
      <c r="D122" s="3">
        <v>8.9497</v>
      </c>
      <c r="E122" s="3">
        <v>40.642014000000003</v>
      </c>
      <c r="F122" s="3">
        <v>59.068047</v>
      </c>
      <c r="G122" s="3">
        <v>60.5</v>
      </c>
      <c r="H122" s="3">
        <v>58.142014000000003</v>
      </c>
      <c r="I122" s="3">
        <v>60.5</v>
      </c>
      <c r="J122" s="3">
        <v>58.642014000000003</v>
      </c>
      <c r="K122" s="3">
        <v>0</v>
      </c>
      <c r="L122" s="3">
        <v>60.5</v>
      </c>
      <c r="M122" s="3">
        <v>60.142014000000003</v>
      </c>
      <c r="N122" s="3">
        <v>60.142014000000003</v>
      </c>
      <c r="O122" s="3">
        <v>0</v>
      </c>
      <c r="P122" s="3">
        <v>26.5</v>
      </c>
      <c r="Q122" s="3">
        <v>59</v>
      </c>
      <c r="R122" s="3">
        <v>352.80737299999998</v>
      </c>
    </row>
    <row r="123" spans="2:18" x14ac:dyDescent="0.25">
      <c r="B123" s="3" t="s">
        <v>121</v>
      </c>
      <c r="C123" s="3">
        <v>120.4753</v>
      </c>
      <c r="D123" s="3">
        <v>25.919699999999999</v>
      </c>
      <c r="E123" s="3">
        <v>90.401236999999995</v>
      </c>
      <c r="F123" s="3">
        <v>48.790123000000001</v>
      </c>
      <c r="G123" s="3">
        <v>117.5</v>
      </c>
      <c r="H123" s="3">
        <v>116.975311</v>
      </c>
      <c r="I123" s="3">
        <v>120.475311</v>
      </c>
      <c r="J123" s="3">
        <v>111.90123699999999</v>
      </c>
      <c r="K123" s="3">
        <v>52.277779000000002</v>
      </c>
      <c r="L123" s="3">
        <v>117.5</v>
      </c>
      <c r="M123" s="3">
        <v>111.475311</v>
      </c>
      <c r="N123" s="3">
        <v>119.5</v>
      </c>
      <c r="O123" s="3">
        <v>52.277779000000002</v>
      </c>
      <c r="P123" s="3">
        <v>50.5</v>
      </c>
      <c r="Q123" s="3">
        <v>105</v>
      </c>
      <c r="R123" s="3">
        <v>194.72171</v>
      </c>
    </row>
    <row r="124" spans="2:18" x14ac:dyDescent="0.25">
      <c r="B124" s="3" t="s">
        <v>122</v>
      </c>
      <c r="C124" s="3">
        <v>65</v>
      </c>
      <c r="D124" s="3">
        <v>0</v>
      </c>
      <c r="E124" s="3">
        <v>57</v>
      </c>
      <c r="F124" s="3">
        <v>65</v>
      </c>
      <c r="G124" s="3">
        <v>65</v>
      </c>
      <c r="H124" s="3">
        <v>65</v>
      </c>
      <c r="I124" s="3">
        <v>65</v>
      </c>
      <c r="J124" s="3">
        <v>65</v>
      </c>
      <c r="K124" s="3">
        <v>0</v>
      </c>
      <c r="L124" s="3">
        <v>65</v>
      </c>
      <c r="M124" s="3">
        <v>65</v>
      </c>
      <c r="N124" s="3">
        <v>65</v>
      </c>
      <c r="O124" s="3">
        <v>0</v>
      </c>
      <c r="P124" s="3">
        <v>63</v>
      </c>
      <c r="Q124" s="3">
        <v>65</v>
      </c>
      <c r="R124" s="3">
        <v>60.5</v>
      </c>
    </row>
    <row r="125" spans="2:18" x14ac:dyDescent="0.25">
      <c r="B125" s="3" t="s">
        <v>123</v>
      </c>
      <c r="C125" s="3">
        <v>97.5</v>
      </c>
      <c r="D125" s="3">
        <v>0</v>
      </c>
      <c r="E125" s="3">
        <v>97.5</v>
      </c>
      <c r="F125" s="3">
        <v>0</v>
      </c>
      <c r="G125" s="3">
        <v>96.5</v>
      </c>
      <c r="H125" s="3">
        <v>95</v>
      </c>
      <c r="I125" s="3">
        <v>97.5</v>
      </c>
      <c r="J125" s="3">
        <v>96.5</v>
      </c>
      <c r="K125" s="3">
        <v>36</v>
      </c>
      <c r="L125" s="3">
        <v>97.5</v>
      </c>
      <c r="M125" s="3">
        <v>97.5</v>
      </c>
      <c r="N125" s="3">
        <v>97.5</v>
      </c>
      <c r="O125" s="3">
        <v>40</v>
      </c>
      <c r="P125" s="3">
        <v>95</v>
      </c>
      <c r="Q125" s="3">
        <v>97.5</v>
      </c>
      <c r="R125" s="3">
        <v>120.475311</v>
      </c>
    </row>
    <row r="126" spans="2:18" x14ac:dyDescent="0.25">
      <c r="B126" s="3" t="s">
        <v>124</v>
      </c>
      <c r="C126" s="3">
        <v>40.545000000000002</v>
      </c>
      <c r="D126" s="3">
        <v>0</v>
      </c>
      <c r="E126" s="3">
        <v>39.544998</v>
      </c>
      <c r="F126" s="3">
        <v>0</v>
      </c>
      <c r="G126" s="3">
        <v>39.5</v>
      </c>
      <c r="H126" s="3">
        <v>40.544998</v>
      </c>
      <c r="I126" s="3">
        <v>39.18</v>
      </c>
      <c r="J126" s="3">
        <v>40.544998</v>
      </c>
      <c r="K126" s="3">
        <v>23.5</v>
      </c>
      <c r="L126" s="3">
        <v>39.5</v>
      </c>
      <c r="M126" s="3">
        <v>40.544998</v>
      </c>
      <c r="N126" s="3">
        <v>40.044998</v>
      </c>
      <c r="O126" s="3">
        <v>23.5</v>
      </c>
      <c r="P126" s="3">
        <v>22.5</v>
      </c>
      <c r="Q126" s="3">
        <v>36.5</v>
      </c>
      <c r="R126" s="3">
        <v>65</v>
      </c>
    </row>
    <row r="127" spans="2:18" x14ac:dyDescent="0.25">
      <c r="B127" s="3" t="s">
        <v>125</v>
      </c>
      <c r="C127" s="3">
        <v>157.1224</v>
      </c>
      <c r="D127" s="3">
        <v>0</v>
      </c>
      <c r="E127" s="3">
        <v>116.122452</v>
      </c>
      <c r="F127" s="3">
        <v>0</v>
      </c>
      <c r="G127" s="3">
        <v>157.12245200000001</v>
      </c>
      <c r="H127" s="3">
        <v>154.5</v>
      </c>
      <c r="I127" s="3">
        <v>156</v>
      </c>
      <c r="J127" s="3">
        <v>156.12245200000001</v>
      </c>
      <c r="K127" s="3">
        <v>80</v>
      </c>
      <c r="L127" s="3">
        <v>152.12245200000001</v>
      </c>
      <c r="M127" s="3">
        <v>157</v>
      </c>
      <c r="N127" s="3">
        <v>154.5</v>
      </c>
      <c r="O127" s="3">
        <v>80</v>
      </c>
      <c r="P127" s="3">
        <v>92</v>
      </c>
      <c r="Q127" s="3">
        <v>147</v>
      </c>
      <c r="R127" s="3">
        <v>97.5</v>
      </c>
    </row>
    <row r="128" spans="2:18" x14ac:dyDescent="0.25">
      <c r="B128" s="3" t="s">
        <v>126</v>
      </c>
      <c r="C128" s="3">
        <v>136</v>
      </c>
      <c r="D128" s="3">
        <v>0</v>
      </c>
      <c r="E128" s="3">
        <v>87.376037999999994</v>
      </c>
      <c r="F128" s="3">
        <v>131.50413499999999</v>
      </c>
      <c r="G128" s="3">
        <v>134.87603799999999</v>
      </c>
      <c r="H128" s="3">
        <v>129.87603799999999</v>
      </c>
      <c r="I128" s="3">
        <v>134.87603799999999</v>
      </c>
      <c r="J128" s="3">
        <v>134</v>
      </c>
      <c r="K128" s="3">
        <v>74</v>
      </c>
      <c r="L128" s="3">
        <v>136</v>
      </c>
      <c r="M128" s="3">
        <v>136</v>
      </c>
      <c r="N128" s="3">
        <v>136</v>
      </c>
      <c r="O128" s="3">
        <v>78</v>
      </c>
      <c r="P128" s="3">
        <v>53</v>
      </c>
      <c r="Q128" s="3">
        <v>112.5</v>
      </c>
      <c r="R128" s="3">
        <v>40.545000000000002</v>
      </c>
    </row>
    <row r="129" spans="2:18" x14ac:dyDescent="0.25">
      <c r="B129" s="3" t="s">
        <v>127</v>
      </c>
      <c r="C129" s="3">
        <v>69</v>
      </c>
      <c r="D129" s="3">
        <v>0</v>
      </c>
      <c r="E129" s="3">
        <v>59</v>
      </c>
      <c r="F129" s="3">
        <v>30.84375</v>
      </c>
      <c r="G129" s="3">
        <v>69</v>
      </c>
      <c r="H129" s="3">
        <v>68</v>
      </c>
      <c r="I129" s="3">
        <v>67.5</v>
      </c>
      <c r="J129" s="3">
        <v>69</v>
      </c>
      <c r="K129" s="3">
        <v>3</v>
      </c>
      <c r="L129" s="3">
        <v>69</v>
      </c>
      <c r="M129" s="3">
        <v>69</v>
      </c>
      <c r="N129" s="3">
        <v>69</v>
      </c>
      <c r="O129" s="3">
        <v>42.5</v>
      </c>
      <c r="P129" s="3">
        <v>56</v>
      </c>
      <c r="Q129" s="3">
        <v>61.5</v>
      </c>
      <c r="R129" s="3">
        <v>157.12245200000001</v>
      </c>
    </row>
    <row r="130" spans="2:18" x14ac:dyDescent="0.25">
      <c r="B130" s="3" t="s">
        <v>128</v>
      </c>
      <c r="C130" s="3">
        <v>99.740700000000004</v>
      </c>
      <c r="D130" s="3">
        <v>0</v>
      </c>
      <c r="E130" s="3">
        <v>88.185187999999997</v>
      </c>
      <c r="F130" s="3">
        <v>59.166668000000001</v>
      </c>
      <c r="G130" s="3">
        <v>98.740737999999993</v>
      </c>
      <c r="H130" s="3">
        <v>90.240737999999993</v>
      </c>
      <c r="I130" s="3">
        <v>101.24073799999999</v>
      </c>
      <c r="J130" s="3">
        <v>96.185187999999997</v>
      </c>
      <c r="K130" s="3">
        <v>16.740738</v>
      </c>
      <c r="L130" s="3">
        <v>100.685188</v>
      </c>
      <c r="M130" s="3">
        <v>100.185188</v>
      </c>
      <c r="N130" s="3">
        <v>97.685187999999997</v>
      </c>
      <c r="O130" s="3">
        <v>18.740738</v>
      </c>
      <c r="P130" s="3">
        <v>67</v>
      </c>
      <c r="Q130" s="3">
        <v>80.5</v>
      </c>
      <c r="R130" s="3">
        <v>136</v>
      </c>
    </row>
    <row r="131" spans="2:18" x14ac:dyDescent="0.25">
      <c r="B131" s="3" t="s">
        <v>129</v>
      </c>
      <c r="C131" s="3">
        <v>24.5</v>
      </c>
      <c r="D131" s="3">
        <v>0</v>
      </c>
      <c r="E131" s="3">
        <v>11.96875</v>
      </c>
      <c r="F131" s="3">
        <v>0</v>
      </c>
      <c r="G131" s="3">
        <v>24.5</v>
      </c>
      <c r="H131" s="3">
        <v>24</v>
      </c>
      <c r="I131" s="3">
        <v>24.5</v>
      </c>
      <c r="J131" s="3">
        <v>23.5</v>
      </c>
      <c r="K131" s="3">
        <v>0</v>
      </c>
      <c r="L131" s="3">
        <v>24.5</v>
      </c>
      <c r="M131" s="3">
        <v>24.5</v>
      </c>
      <c r="N131" s="3">
        <v>24.5</v>
      </c>
      <c r="O131" s="3">
        <v>0</v>
      </c>
      <c r="P131" s="3">
        <v>13</v>
      </c>
      <c r="Q131" s="3">
        <v>24.5</v>
      </c>
      <c r="R131" s="3">
        <v>69</v>
      </c>
    </row>
    <row r="132" spans="2:18" x14ac:dyDescent="0.25">
      <c r="B132" s="3" t="s">
        <v>130</v>
      </c>
      <c r="C132" s="3">
        <v>31</v>
      </c>
      <c r="D132" s="3">
        <v>23.25</v>
      </c>
      <c r="E132" s="3">
        <v>31</v>
      </c>
      <c r="F132" s="3">
        <v>0</v>
      </c>
      <c r="G132" s="3">
        <v>31</v>
      </c>
      <c r="H132" s="3">
        <v>31</v>
      </c>
      <c r="I132" s="3">
        <v>31</v>
      </c>
      <c r="J132" s="3">
        <v>31</v>
      </c>
      <c r="K132" s="3">
        <v>0</v>
      </c>
      <c r="L132" s="3">
        <v>31</v>
      </c>
      <c r="M132" s="3">
        <v>31</v>
      </c>
      <c r="N132" s="3">
        <v>31</v>
      </c>
      <c r="O132" s="3">
        <v>0</v>
      </c>
      <c r="P132" s="3">
        <v>31</v>
      </c>
      <c r="Q132" s="3">
        <v>31</v>
      </c>
      <c r="R132" s="3">
        <v>101.24073799999999</v>
      </c>
    </row>
    <row r="133" spans="2:18" x14ac:dyDescent="0.25">
      <c r="B133" s="3" t="s">
        <v>131</v>
      </c>
      <c r="C133" s="3">
        <v>44.5</v>
      </c>
      <c r="D133" s="3">
        <v>35.305700000000002</v>
      </c>
      <c r="E133" s="3">
        <v>40.028927000000003</v>
      </c>
      <c r="F133" s="3">
        <v>44.5</v>
      </c>
      <c r="G133" s="3">
        <v>44.5</v>
      </c>
      <c r="H133" s="3">
        <v>43</v>
      </c>
      <c r="I133" s="3">
        <v>44.5</v>
      </c>
      <c r="J133" s="3">
        <v>44.5</v>
      </c>
      <c r="K133" s="3">
        <v>0</v>
      </c>
      <c r="L133" s="3">
        <v>44.5</v>
      </c>
      <c r="M133" s="3">
        <v>44.5</v>
      </c>
      <c r="N133" s="3">
        <v>44.5</v>
      </c>
      <c r="O133" s="3">
        <v>0</v>
      </c>
      <c r="P133" s="3">
        <v>15.5</v>
      </c>
      <c r="Q133" s="3">
        <v>44.5</v>
      </c>
      <c r="R133" s="3">
        <v>24.5</v>
      </c>
    </row>
    <row r="134" spans="2:18" x14ac:dyDescent="0.25">
      <c r="B134" s="3" t="s">
        <v>132</v>
      </c>
      <c r="C134" s="3">
        <v>36.5</v>
      </c>
      <c r="D134" s="3">
        <v>11.152799999999999</v>
      </c>
      <c r="E134" s="3">
        <v>29.944443</v>
      </c>
      <c r="F134" s="3">
        <v>36.5</v>
      </c>
      <c r="G134" s="3">
        <v>36.5</v>
      </c>
      <c r="H134" s="3">
        <v>33.21875</v>
      </c>
      <c r="I134" s="3">
        <v>36.5</v>
      </c>
      <c r="J134" s="3">
        <v>36.5</v>
      </c>
      <c r="K134" s="3">
        <v>0</v>
      </c>
      <c r="L134" s="3">
        <v>36.5</v>
      </c>
      <c r="M134" s="3">
        <v>36.5</v>
      </c>
      <c r="N134" s="3">
        <v>36.5</v>
      </c>
      <c r="O134" s="3">
        <v>0</v>
      </c>
      <c r="P134" s="3">
        <v>20</v>
      </c>
      <c r="Q134" s="3">
        <v>36.5</v>
      </c>
      <c r="R134" s="3">
        <v>31</v>
      </c>
    </row>
    <row r="135" spans="2:18" x14ac:dyDescent="0.25">
      <c r="B135" s="3" t="s">
        <v>133</v>
      </c>
      <c r="C135" s="3">
        <v>61.5</v>
      </c>
      <c r="D135" s="3">
        <v>34.1663</v>
      </c>
      <c r="E135" s="3">
        <v>61.5</v>
      </c>
      <c r="F135" s="3">
        <v>61.072918000000001</v>
      </c>
      <c r="G135" s="3">
        <v>61.5</v>
      </c>
      <c r="H135" s="3">
        <v>61.5</v>
      </c>
      <c r="I135" s="3">
        <v>61.5</v>
      </c>
      <c r="J135" s="3">
        <v>61.5</v>
      </c>
      <c r="K135" s="3">
        <v>0</v>
      </c>
      <c r="L135" s="3">
        <v>61.5</v>
      </c>
      <c r="M135" s="3">
        <v>61.5</v>
      </c>
      <c r="N135" s="3">
        <v>61.5</v>
      </c>
      <c r="O135" s="3">
        <v>0</v>
      </c>
      <c r="P135" s="3">
        <v>50.5</v>
      </c>
      <c r="Q135" s="3">
        <v>61.5</v>
      </c>
      <c r="R135" s="3">
        <v>44.5</v>
      </c>
    </row>
    <row r="136" spans="2:18" x14ac:dyDescent="0.25">
      <c r="B136" s="3" t="s">
        <v>134</v>
      </c>
      <c r="C136" s="3">
        <v>56.753100000000003</v>
      </c>
      <c r="D136" s="3">
        <v>12.6973</v>
      </c>
      <c r="E136" s="3">
        <v>52.753086000000003</v>
      </c>
      <c r="F136" s="3">
        <v>0</v>
      </c>
      <c r="G136" s="3">
        <v>56.512343999999999</v>
      </c>
      <c r="H136" s="3">
        <v>52.753086000000003</v>
      </c>
      <c r="I136" s="3">
        <v>56.512343999999999</v>
      </c>
      <c r="J136" s="3">
        <v>56.753086000000003</v>
      </c>
      <c r="K136" s="3">
        <v>0</v>
      </c>
      <c r="L136" s="3">
        <v>56.512343999999999</v>
      </c>
      <c r="M136" s="3">
        <v>56.512343999999999</v>
      </c>
      <c r="N136" s="3">
        <v>56.753086000000003</v>
      </c>
      <c r="O136" s="3">
        <v>0</v>
      </c>
      <c r="P136" s="3">
        <v>0</v>
      </c>
      <c r="Q136" s="3">
        <v>29</v>
      </c>
      <c r="R136" s="3">
        <v>36.5</v>
      </c>
    </row>
    <row r="137" spans="2:18" x14ac:dyDescent="0.25">
      <c r="B137" s="3" t="s">
        <v>135</v>
      </c>
      <c r="C137" s="3">
        <v>38</v>
      </c>
      <c r="D137" s="3">
        <v>28.5</v>
      </c>
      <c r="E137" s="3">
        <v>38</v>
      </c>
      <c r="F137" s="3">
        <v>38</v>
      </c>
      <c r="G137" s="3">
        <v>38</v>
      </c>
      <c r="H137" s="3">
        <v>36</v>
      </c>
      <c r="I137" s="3">
        <v>38</v>
      </c>
      <c r="J137" s="3">
        <v>38</v>
      </c>
      <c r="K137" s="3">
        <v>0</v>
      </c>
      <c r="L137" s="3">
        <v>38</v>
      </c>
      <c r="M137" s="3">
        <v>38</v>
      </c>
      <c r="N137" s="3">
        <v>38</v>
      </c>
      <c r="O137" s="3">
        <v>0</v>
      </c>
      <c r="P137" s="3">
        <v>25</v>
      </c>
      <c r="Q137" s="3">
        <v>36.5</v>
      </c>
      <c r="R137" s="3">
        <v>61.5</v>
      </c>
    </row>
    <row r="138" spans="2:18" x14ac:dyDescent="0.25">
      <c r="B138" s="3" t="s">
        <v>136</v>
      </c>
      <c r="C138" s="3">
        <v>20.5</v>
      </c>
      <c r="D138" s="3">
        <v>15.375</v>
      </c>
      <c r="E138" s="3">
        <v>20.5</v>
      </c>
      <c r="F138" s="3">
        <v>20.5</v>
      </c>
      <c r="G138" s="3">
        <v>20.5</v>
      </c>
      <c r="H138" s="3">
        <v>19</v>
      </c>
      <c r="I138" s="3">
        <v>20.5</v>
      </c>
      <c r="J138" s="3">
        <v>20.5</v>
      </c>
      <c r="K138" s="3">
        <v>0</v>
      </c>
      <c r="L138" s="3">
        <v>20.5</v>
      </c>
      <c r="M138" s="3">
        <v>20.5</v>
      </c>
      <c r="N138" s="3">
        <v>20.5</v>
      </c>
      <c r="O138" s="3">
        <v>0</v>
      </c>
      <c r="P138" s="3">
        <v>18</v>
      </c>
      <c r="Q138" s="3">
        <v>20.5</v>
      </c>
      <c r="R138" s="3">
        <v>56.753100000000003</v>
      </c>
    </row>
    <row r="139" spans="2:18" x14ac:dyDescent="0.25">
      <c r="B139" s="3" t="s">
        <v>137</v>
      </c>
      <c r="C139" s="3">
        <v>375.95499999999998</v>
      </c>
      <c r="D139" s="3">
        <v>0</v>
      </c>
      <c r="E139" s="3">
        <v>386.98117100000002</v>
      </c>
      <c r="F139" s="3">
        <v>279.58264200000002</v>
      </c>
      <c r="G139" s="3">
        <v>476.12029999999999</v>
      </c>
      <c r="H139" s="3">
        <v>460.62029999999999</v>
      </c>
      <c r="I139" s="3">
        <v>480.79522700000001</v>
      </c>
      <c r="J139" s="3">
        <v>485.85534699999999</v>
      </c>
      <c r="K139" s="3">
        <v>457.37512199999998</v>
      </c>
      <c r="L139" s="3">
        <v>463.37512199999998</v>
      </c>
      <c r="M139" s="3">
        <v>465.62029999999999</v>
      </c>
      <c r="N139" s="3">
        <v>468.50048800000002</v>
      </c>
      <c r="O139" s="3">
        <v>446.38018799999998</v>
      </c>
      <c r="P139" s="3">
        <v>355</v>
      </c>
      <c r="Q139" s="3">
        <v>444.37512199999998</v>
      </c>
      <c r="R139" s="3">
        <v>38</v>
      </c>
    </row>
    <row r="140" spans="2:18" x14ac:dyDescent="0.25">
      <c r="B140" s="3" t="s">
        <v>138</v>
      </c>
      <c r="C140" s="3">
        <v>251.45570000000001</v>
      </c>
      <c r="D140" s="3">
        <v>18.8019</v>
      </c>
      <c r="E140" s="3">
        <v>269.63296500000001</v>
      </c>
      <c r="F140" s="3">
        <v>135.876724</v>
      </c>
      <c r="G140" s="3">
        <v>277.86425800000001</v>
      </c>
      <c r="H140" s="3">
        <v>276.93075599999997</v>
      </c>
      <c r="I140" s="3">
        <v>279.43075599999997</v>
      </c>
      <c r="J140" s="3">
        <v>282.36425800000001</v>
      </c>
      <c r="K140" s="3">
        <v>258.19390900000002</v>
      </c>
      <c r="L140" s="3">
        <v>271.40026899999998</v>
      </c>
      <c r="M140" s="3">
        <v>278.40026899999998</v>
      </c>
      <c r="N140" s="3">
        <v>272.16619900000001</v>
      </c>
      <c r="O140" s="3">
        <v>262.16619900000001</v>
      </c>
      <c r="P140" s="3">
        <v>178.74929800000001</v>
      </c>
      <c r="Q140" s="3">
        <v>234.475067</v>
      </c>
      <c r="R140" s="3">
        <v>20.5</v>
      </c>
    </row>
    <row r="141" spans="2:18" x14ac:dyDescent="0.25">
      <c r="B141" s="3" t="s">
        <v>323</v>
      </c>
      <c r="C141" s="3">
        <v>0</v>
      </c>
      <c r="D141" s="3">
        <v>0</v>
      </c>
      <c r="E141" s="3">
        <v>356.82714800000002</v>
      </c>
      <c r="F141" s="3">
        <v>253.63736</v>
      </c>
      <c r="G141" s="3">
        <v>415.72924799999998</v>
      </c>
      <c r="H141" s="3">
        <v>400.26886000000002</v>
      </c>
      <c r="I141" s="3">
        <v>418.26886000000002</v>
      </c>
      <c r="J141" s="3">
        <v>423.45764200000002</v>
      </c>
      <c r="K141" s="3">
        <v>368.871735</v>
      </c>
      <c r="L141" s="3">
        <v>421.27777099999997</v>
      </c>
      <c r="M141" s="3">
        <v>411.72924799999998</v>
      </c>
      <c r="N141" s="3">
        <v>408.45764200000002</v>
      </c>
      <c r="O141" s="3">
        <v>378.812073</v>
      </c>
      <c r="P141" s="3">
        <v>274.34106400000002</v>
      </c>
      <c r="Q141" s="3">
        <v>378.34860200000003</v>
      </c>
      <c r="R141" s="3">
        <v>485.85534699999999</v>
      </c>
    </row>
    <row r="142" spans="2:18" x14ac:dyDescent="0.25">
      <c r="B142" s="3" t="s">
        <v>324</v>
      </c>
      <c r="C142" s="3">
        <v>0</v>
      </c>
      <c r="D142" s="3">
        <v>0</v>
      </c>
      <c r="E142" s="3">
        <v>307.465485</v>
      </c>
      <c r="F142" s="3">
        <v>159.49345400000001</v>
      </c>
      <c r="G142" s="3">
        <v>353.78851300000002</v>
      </c>
      <c r="H142" s="3">
        <v>353.33938599999999</v>
      </c>
      <c r="I142" s="3">
        <v>359.33938599999999</v>
      </c>
      <c r="J142" s="3">
        <v>345.64068600000002</v>
      </c>
      <c r="K142" s="3">
        <v>348.33938599999999</v>
      </c>
      <c r="L142" s="3">
        <v>353.83938599999999</v>
      </c>
      <c r="M142" s="3">
        <v>358.33938599999999</v>
      </c>
      <c r="N142" s="3">
        <v>358.33938599999999</v>
      </c>
      <c r="O142" s="3">
        <v>343.28851300000002</v>
      </c>
      <c r="P142" s="3">
        <v>293.45983899999999</v>
      </c>
      <c r="Q142" s="3">
        <v>333.83938599999999</v>
      </c>
      <c r="R142" s="3">
        <v>282.36425800000001</v>
      </c>
    </row>
    <row r="143" spans="2:18" x14ac:dyDescent="0.25">
      <c r="B143" s="3" t="s">
        <v>325</v>
      </c>
      <c r="C143" s="3">
        <v>0</v>
      </c>
      <c r="D143" s="3">
        <v>0</v>
      </c>
      <c r="E143" s="3">
        <v>402.679688</v>
      </c>
      <c r="F143" s="3">
        <v>196.69482400000001</v>
      </c>
      <c r="G143" s="3">
        <v>440.15185500000001</v>
      </c>
      <c r="H143" s="3">
        <v>441.68554699999999</v>
      </c>
      <c r="I143" s="3">
        <v>451.15185500000001</v>
      </c>
      <c r="J143" s="3">
        <v>451.179688</v>
      </c>
      <c r="K143" s="3">
        <v>416.52929699999999</v>
      </c>
      <c r="L143" s="3">
        <v>455.18554699999999</v>
      </c>
      <c r="M143" s="3">
        <v>447.68554699999999</v>
      </c>
      <c r="N143" s="3">
        <v>445.18554699999999</v>
      </c>
      <c r="O143" s="3">
        <v>419.52929699999999</v>
      </c>
      <c r="P143" s="3">
        <v>317.67138699999998</v>
      </c>
      <c r="Q143" s="3">
        <v>436.52929699999999</v>
      </c>
      <c r="R143" s="3">
        <v>423.45764200000002</v>
      </c>
    </row>
    <row r="144" spans="2:18" x14ac:dyDescent="0.25">
      <c r="B144" s="3" t="s">
        <v>326</v>
      </c>
      <c r="C144" s="3">
        <v>0</v>
      </c>
      <c r="D144" s="3">
        <v>0</v>
      </c>
      <c r="E144" s="3">
        <v>450.95739700000001</v>
      </c>
      <c r="F144" s="3">
        <v>253.13085899999999</v>
      </c>
      <c r="G144" s="3">
        <v>534.77343800000006</v>
      </c>
      <c r="H144" s="3">
        <v>504.291382</v>
      </c>
      <c r="I144" s="3">
        <v>541.55273399999999</v>
      </c>
      <c r="J144" s="3">
        <v>536.95849599999997</v>
      </c>
      <c r="K144" s="3">
        <v>508.399902</v>
      </c>
      <c r="L144" s="3">
        <v>540.15173300000004</v>
      </c>
      <c r="M144" s="3">
        <v>507.157715</v>
      </c>
      <c r="N144" s="3">
        <v>521.65173300000004</v>
      </c>
      <c r="O144" s="3">
        <v>500.791382</v>
      </c>
      <c r="P144" s="3">
        <v>369.69335899999999</v>
      </c>
      <c r="Q144" s="3">
        <v>501.55273399999999</v>
      </c>
      <c r="R144" s="3">
        <v>359.33938599999999</v>
      </c>
    </row>
    <row r="145" spans="2:18" x14ac:dyDescent="0.25">
      <c r="B145" s="3" t="s">
        <v>327</v>
      </c>
      <c r="C145" s="3">
        <v>0</v>
      </c>
      <c r="D145" s="3">
        <v>0</v>
      </c>
      <c r="E145" s="3">
        <v>458.93438700000002</v>
      </c>
      <c r="F145" s="3">
        <v>391.354645</v>
      </c>
      <c r="G145" s="3">
        <v>550.08868399999994</v>
      </c>
      <c r="H145" s="3">
        <v>538.35186799999997</v>
      </c>
      <c r="I145" s="3">
        <v>562.15960700000005</v>
      </c>
      <c r="J145" s="3">
        <v>553.23925799999995</v>
      </c>
      <c r="K145" s="3">
        <v>515.71283000000005</v>
      </c>
      <c r="L145" s="3">
        <v>544.65960700000005</v>
      </c>
      <c r="M145" s="3">
        <v>533.35186799999997</v>
      </c>
      <c r="N145" s="3">
        <v>541.15960700000005</v>
      </c>
      <c r="O145" s="3">
        <v>511.77801499999998</v>
      </c>
      <c r="P145" s="3">
        <v>421.10858200000001</v>
      </c>
      <c r="Q145" s="3">
        <v>520.58868399999994</v>
      </c>
      <c r="R145" s="3">
        <v>455.18554699999999</v>
      </c>
    </row>
    <row r="146" spans="2:18" x14ac:dyDescent="0.25">
      <c r="B146" s="3" t="s">
        <v>139</v>
      </c>
      <c r="C146" s="3">
        <v>0</v>
      </c>
      <c r="D146" s="3">
        <v>0</v>
      </c>
      <c r="E146" s="3">
        <v>305.89334100000002</v>
      </c>
      <c r="F146" s="3">
        <v>244.34375</v>
      </c>
      <c r="G146" s="3">
        <v>388.12887599999999</v>
      </c>
      <c r="H146" s="3">
        <v>375.60745200000002</v>
      </c>
      <c r="I146" s="3">
        <v>393.03201300000001</v>
      </c>
      <c r="J146" s="3">
        <v>392.27969400000001</v>
      </c>
      <c r="K146" s="3">
        <v>368.59167500000001</v>
      </c>
      <c r="L146" s="3">
        <v>382.27969400000001</v>
      </c>
      <c r="M146" s="3">
        <v>375.10745200000002</v>
      </c>
      <c r="N146" s="3">
        <v>384.12887599999999</v>
      </c>
      <c r="O146" s="3">
        <v>378.03201300000001</v>
      </c>
      <c r="P146" s="3">
        <v>301.65185500000001</v>
      </c>
      <c r="Q146" s="3">
        <v>367.14877300000001</v>
      </c>
      <c r="R146" s="3">
        <v>541.55273399999999</v>
      </c>
    </row>
    <row r="147" spans="2:18" x14ac:dyDescent="0.25">
      <c r="B147" s="3" t="s">
        <v>328</v>
      </c>
      <c r="C147" s="3">
        <v>0</v>
      </c>
      <c r="D147" s="3">
        <v>0</v>
      </c>
      <c r="E147" s="3">
        <v>537.22222899999997</v>
      </c>
      <c r="F147" s="3">
        <v>0</v>
      </c>
      <c r="G147" s="3">
        <v>572.46545400000002</v>
      </c>
      <c r="H147" s="3">
        <v>559.46545400000002</v>
      </c>
      <c r="I147" s="3">
        <v>590.96545400000002</v>
      </c>
      <c r="J147" s="3">
        <v>595.97283900000002</v>
      </c>
      <c r="K147" s="3">
        <v>538.22222899999997</v>
      </c>
      <c r="L147" s="3">
        <v>585.97283900000002</v>
      </c>
      <c r="M147" s="3">
        <v>582.96545400000002</v>
      </c>
      <c r="N147" s="3">
        <v>567.97283900000002</v>
      </c>
      <c r="O147" s="3">
        <v>535.21356200000002</v>
      </c>
      <c r="P147" s="3">
        <v>436.243225</v>
      </c>
      <c r="Q147" s="3">
        <v>558.46545400000002</v>
      </c>
      <c r="R147" s="3">
        <v>562.15960700000005</v>
      </c>
    </row>
    <row r="148" spans="2:18" x14ac:dyDescent="0.25">
      <c r="B148" s="3" t="s">
        <v>329</v>
      </c>
      <c r="C148" s="3">
        <v>0</v>
      </c>
      <c r="D148" s="3">
        <v>0</v>
      </c>
      <c r="E148" s="3">
        <v>408.83093300000002</v>
      </c>
      <c r="F148" s="3">
        <v>261.421448</v>
      </c>
      <c r="G148" s="3">
        <v>503.25103799999999</v>
      </c>
      <c r="H148" s="3">
        <v>481.60845899999998</v>
      </c>
      <c r="I148" s="3">
        <v>513.60845900000004</v>
      </c>
      <c r="J148" s="3">
        <v>492.488831</v>
      </c>
      <c r="K148" s="3">
        <v>488.76068099999998</v>
      </c>
      <c r="L148" s="3">
        <v>491.79553199999998</v>
      </c>
      <c r="M148" s="3">
        <v>506.51037600000001</v>
      </c>
      <c r="N148" s="3">
        <v>481.51037600000001</v>
      </c>
      <c r="O148" s="3">
        <v>452.60900900000001</v>
      </c>
      <c r="P148" s="3">
        <v>350.77654999999999</v>
      </c>
      <c r="Q148" s="3">
        <v>473.10845899999998</v>
      </c>
      <c r="R148" s="3">
        <v>393.03201300000001</v>
      </c>
    </row>
    <row r="149" spans="2:18" x14ac:dyDescent="0.25">
      <c r="B149" s="3" t="s">
        <v>140</v>
      </c>
      <c r="C149" s="3">
        <v>11.33</v>
      </c>
      <c r="D149" s="3">
        <v>0</v>
      </c>
      <c r="E149" s="3">
        <v>7</v>
      </c>
      <c r="F149" s="3">
        <v>6.63</v>
      </c>
      <c r="G149" s="3">
        <v>11.33</v>
      </c>
      <c r="H149" s="3">
        <v>11.33</v>
      </c>
      <c r="I149" s="3">
        <v>10.92</v>
      </c>
      <c r="J149" s="3">
        <v>11.33</v>
      </c>
      <c r="K149" s="3">
        <v>0</v>
      </c>
      <c r="L149" s="3">
        <v>11.33</v>
      </c>
      <c r="M149" s="3">
        <v>11.33</v>
      </c>
      <c r="N149" s="3">
        <v>11.33</v>
      </c>
      <c r="O149" s="3">
        <v>0</v>
      </c>
      <c r="P149" s="3">
        <v>3.5</v>
      </c>
      <c r="Q149" s="3">
        <v>5.5</v>
      </c>
      <c r="R149" s="3">
        <v>595.97283900000002</v>
      </c>
    </row>
    <row r="150" spans="2:18" x14ac:dyDescent="0.25">
      <c r="B150" s="3" t="s">
        <v>141</v>
      </c>
      <c r="C150" s="3">
        <v>36</v>
      </c>
      <c r="D150" s="3">
        <v>7.125</v>
      </c>
      <c r="E150" s="3">
        <v>28.125</v>
      </c>
      <c r="F150" s="3">
        <v>24</v>
      </c>
      <c r="G150" s="3">
        <v>36</v>
      </c>
      <c r="H150" s="3">
        <v>35.125</v>
      </c>
      <c r="I150" s="3">
        <v>36</v>
      </c>
      <c r="J150" s="3">
        <v>36</v>
      </c>
      <c r="K150" s="3">
        <v>0</v>
      </c>
      <c r="L150" s="3">
        <v>36</v>
      </c>
      <c r="M150" s="3">
        <v>36</v>
      </c>
      <c r="N150" s="3">
        <v>36</v>
      </c>
      <c r="O150" s="3">
        <v>0</v>
      </c>
      <c r="P150" s="3">
        <v>14</v>
      </c>
      <c r="Q150" s="3">
        <v>21.5</v>
      </c>
      <c r="R150" s="3">
        <v>513.60845900000004</v>
      </c>
    </row>
    <row r="151" spans="2:18" x14ac:dyDescent="0.25">
      <c r="B151" s="3" t="s">
        <v>142</v>
      </c>
      <c r="C151" s="3">
        <v>27.515599999999999</v>
      </c>
      <c r="D151" s="3">
        <v>7.2656000000000001</v>
      </c>
      <c r="E151" s="3">
        <v>26.015625</v>
      </c>
      <c r="F151" s="3">
        <v>13.0625</v>
      </c>
      <c r="G151" s="3">
        <v>27.5</v>
      </c>
      <c r="H151" s="3">
        <v>27.515625</v>
      </c>
      <c r="I151" s="3">
        <v>27.5</v>
      </c>
      <c r="J151" s="3">
        <v>27.515625</v>
      </c>
      <c r="K151" s="3">
        <v>0</v>
      </c>
      <c r="L151" s="3">
        <v>27.5</v>
      </c>
      <c r="M151" s="3">
        <v>27.515625</v>
      </c>
      <c r="N151" s="3">
        <v>27.515625</v>
      </c>
      <c r="O151" s="3">
        <v>0</v>
      </c>
      <c r="P151" s="3">
        <v>21.5</v>
      </c>
      <c r="Q151" s="3">
        <v>27.5</v>
      </c>
      <c r="R151" s="3">
        <v>11.33</v>
      </c>
    </row>
    <row r="152" spans="2:18" x14ac:dyDescent="0.25">
      <c r="B152" s="3" t="s">
        <v>143</v>
      </c>
      <c r="C152" s="3">
        <v>15.5</v>
      </c>
      <c r="D152" s="3">
        <v>0</v>
      </c>
      <c r="E152" s="3">
        <v>15</v>
      </c>
      <c r="F152" s="3">
        <v>0</v>
      </c>
      <c r="G152" s="3">
        <v>15.5</v>
      </c>
      <c r="H152" s="3">
        <v>15</v>
      </c>
      <c r="I152" s="3">
        <v>15.5</v>
      </c>
      <c r="J152" s="3">
        <v>15.5</v>
      </c>
      <c r="K152" s="3">
        <v>0</v>
      </c>
      <c r="L152" s="3">
        <v>15.5</v>
      </c>
      <c r="M152" s="3">
        <v>15.5</v>
      </c>
      <c r="N152" s="3">
        <v>15.5</v>
      </c>
      <c r="O152" s="3">
        <v>0</v>
      </c>
      <c r="P152" s="3">
        <v>12</v>
      </c>
      <c r="Q152" s="3">
        <v>15.5</v>
      </c>
      <c r="R152" s="3">
        <v>36</v>
      </c>
    </row>
    <row r="153" spans="2:18" x14ac:dyDescent="0.25">
      <c r="B153" s="3" t="s">
        <v>144</v>
      </c>
      <c r="C153" s="3">
        <v>26.5</v>
      </c>
      <c r="D153" s="3">
        <v>0</v>
      </c>
      <c r="E153" s="3">
        <v>26.5</v>
      </c>
      <c r="F153" s="3">
        <v>0</v>
      </c>
      <c r="G153" s="3">
        <v>26.5</v>
      </c>
      <c r="H153" s="3">
        <v>26.5</v>
      </c>
      <c r="I153" s="3">
        <v>26.5</v>
      </c>
      <c r="J153" s="3">
        <v>26.5</v>
      </c>
      <c r="K153" s="3">
        <v>0</v>
      </c>
      <c r="L153" s="3">
        <v>26.5</v>
      </c>
      <c r="M153" s="3">
        <v>26.5</v>
      </c>
      <c r="N153" s="3">
        <v>26.5</v>
      </c>
      <c r="O153" s="3">
        <v>0</v>
      </c>
      <c r="P153" s="3">
        <v>26.5</v>
      </c>
      <c r="Q153" s="3">
        <v>26.5</v>
      </c>
      <c r="R153" s="3">
        <v>27.515625</v>
      </c>
    </row>
    <row r="154" spans="2:18" x14ac:dyDescent="0.25">
      <c r="B154" s="3" t="s">
        <v>145</v>
      </c>
      <c r="C154" s="3">
        <v>37</v>
      </c>
      <c r="D154" s="3">
        <v>24.986000000000001</v>
      </c>
      <c r="E154" s="3">
        <v>35.543208999999997</v>
      </c>
      <c r="F154" s="3">
        <v>37</v>
      </c>
      <c r="G154" s="3">
        <v>37</v>
      </c>
      <c r="H154" s="3">
        <v>37</v>
      </c>
      <c r="I154" s="3">
        <v>37</v>
      </c>
      <c r="J154" s="3">
        <v>37</v>
      </c>
      <c r="K154" s="3">
        <v>0</v>
      </c>
      <c r="L154" s="3">
        <v>37</v>
      </c>
      <c r="M154" s="3">
        <v>37</v>
      </c>
      <c r="N154" s="3">
        <v>37</v>
      </c>
      <c r="O154" s="3">
        <v>0</v>
      </c>
      <c r="P154" s="3">
        <v>34</v>
      </c>
      <c r="Q154" s="3">
        <v>37</v>
      </c>
      <c r="R154" s="3">
        <v>15.5</v>
      </c>
    </row>
    <row r="155" spans="2:18" x14ac:dyDescent="0.25">
      <c r="B155" s="3" t="s">
        <v>146</v>
      </c>
      <c r="C155" s="3">
        <v>32.5</v>
      </c>
      <c r="D155" s="3">
        <v>0</v>
      </c>
      <c r="E155" s="3">
        <v>32.5</v>
      </c>
      <c r="F155" s="3">
        <v>32.5</v>
      </c>
      <c r="G155" s="3">
        <v>32.5</v>
      </c>
      <c r="H155" s="3">
        <v>32</v>
      </c>
      <c r="I155" s="3">
        <v>32.5</v>
      </c>
      <c r="J155" s="3">
        <v>32.5</v>
      </c>
      <c r="K155" s="3">
        <v>0</v>
      </c>
      <c r="L155" s="3">
        <v>32.5</v>
      </c>
      <c r="M155" s="3">
        <v>32.5</v>
      </c>
      <c r="N155" s="3">
        <v>32.5</v>
      </c>
      <c r="O155" s="3">
        <v>0</v>
      </c>
      <c r="P155" s="3">
        <v>10.5</v>
      </c>
      <c r="Q155" s="3">
        <v>32.5</v>
      </c>
      <c r="R155" s="3">
        <v>26.5</v>
      </c>
    </row>
    <row r="156" spans="2:18" x14ac:dyDescent="0.25">
      <c r="B156" s="3" t="s">
        <v>147</v>
      </c>
      <c r="C156" s="3">
        <v>23.74</v>
      </c>
      <c r="D156" s="3">
        <v>0</v>
      </c>
      <c r="E156" s="3">
        <v>23.74</v>
      </c>
      <c r="F156" s="3">
        <v>21.84</v>
      </c>
      <c r="G156" s="3">
        <v>23.74</v>
      </c>
      <c r="H156" s="3">
        <v>23.459999</v>
      </c>
      <c r="I156" s="3">
        <v>23.74</v>
      </c>
      <c r="J156" s="3">
        <v>23.74</v>
      </c>
      <c r="K156" s="3">
        <v>0</v>
      </c>
      <c r="L156" s="3">
        <v>23.74</v>
      </c>
      <c r="M156" s="3">
        <v>23.74</v>
      </c>
      <c r="N156" s="3">
        <v>23.74</v>
      </c>
      <c r="O156" s="3">
        <v>0</v>
      </c>
      <c r="P156" s="3">
        <v>6</v>
      </c>
      <c r="Q156" s="3">
        <v>1</v>
      </c>
      <c r="R156" s="3">
        <v>37</v>
      </c>
    </row>
    <row r="157" spans="2:18" x14ac:dyDescent="0.25">
      <c r="B157" s="3" t="s">
        <v>148</v>
      </c>
      <c r="C157" s="3">
        <v>39.5</v>
      </c>
      <c r="D157" s="3">
        <v>0</v>
      </c>
      <c r="E157" s="3">
        <v>37.5</v>
      </c>
      <c r="F157" s="3">
        <v>0</v>
      </c>
      <c r="G157" s="3">
        <v>39.5</v>
      </c>
      <c r="H157" s="3">
        <v>39</v>
      </c>
      <c r="I157" s="3">
        <v>39.5</v>
      </c>
      <c r="J157" s="3">
        <v>39.5</v>
      </c>
      <c r="K157" s="3">
        <v>0</v>
      </c>
      <c r="L157" s="3">
        <v>39.5</v>
      </c>
      <c r="M157" s="3">
        <v>39.5</v>
      </c>
      <c r="N157" s="3">
        <v>39.5</v>
      </c>
      <c r="O157" s="3">
        <v>0</v>
      </c>
      <c r="P157" s="3">
        <v>39.5</v>
      </c>
      <c r="Q157" s="3">
        <v>32</v>
      </c>
      <c r="R157" s="3">
        <v>32.5</v>
      </c>
    </row>
    <row r="158" spans="2:18" x14ac:dyDescent="0.25">
      <c r="B158" s="3" t="s">
        <v>149</v>
      </c>
      <c r="C158" s="3">
        <v>122.65309999999999</v>
      </c>
      <c r="D158" s="3">
        <v>0</v>
      </c>
      <c r="E158" s="3">
        <v>102.938782</v>
      </c>
      <c r="F158" s="3">
        <v>42.448977999999997</v>
      </c>
      <c r="G158" s="3">
        <v>130.09184300000001</v>
      </c>
      <c r="H158" s="3">
        <v>121.438782</v>
      </c>
      <c r="I158" s="3">
        <v>125.938782</v>
      </c>
      <c r="J158" s="3">
        <v>127.438782</v>
      </c>
      <c r="K158" s="3">
        <v>72.153060999999994</v>
      </c>
      <c r="L158" s="3">
        <v>127.938782</v>
      </c>
      <c r="M158" s="3">
        <v>118.938782</v>
      </c>
      <c r="N158" s="3">
        <v>128.09184300000001</v>
      </c>
      <c r="O158" s="3">
        <v>81.091842999999997</v>
      </c>
      <c r="P158" s="3">
        <v>68</v>
      </c>
      <c r="Q158" s="3">
        <v>92.5</v>
      </c>
      <c r="R158" s="3">
        <v>23.74</v>
      </c>
    </row>
    <row r="159" spans="2:18" x14ac:dyDescent="0.25">
      <c r="B159" s="3" t="s">
        <v>150</v>
      </c>
      <c r="C159" s="3">
        <v>200.55860000000001</v>
      </c>
      <c r="D159" s="3">
        <v>25.817900000000002</v>
      </c>
      <c r="E159" s="3">
        <v>162.05864</v>
      </c>
      <c r="F159" s="3">
        <v>149.74382</v>
      </c>
      <c r="G159" s="3">
        <v>195.55864</v>
      </c>
      <c r="H159" s="3">
        <v>188.55864</v>
      </c>
      <c r="I159" s="3">
        <v>199.05864</v>
      </c>
      <c r="J159" s="3">
        <v>196.05864</v>
      </c>
      <c r="K159" s="3">
        <v>132.44444300000001</v>
      </c>
      <c r="L159" s="3">
        <v>197.94444300000001</v>
      </c>
      <c r="M159" s="3">
        <v>192.85493500000001</v>
      </c>
      <c r="N159" s="3">
        <v>193.85493500000001</v>
      </c>
      <c r="O159" s="3">
        <v>132.44444300000001</v>
      </c>
      <c r="P159" s="3">
        <v>31</v>
      </c>
      <c r="Q159" s="3">
        <v>118.762344</v>
      </c>
      <c r="R159" s="3">
        <v>39.5</v>
      </c>
    </row>
    <row r="160" spans="2:18" x14ac:dyDescent="0.25">
      <c r="B160" s="3" t="s">
        <v>151</v>
      </c>
      <c r="C160" s="3">
        <v>175.98609999999999</v>
      </c>
      <c r="D160" s="3">
        <v>0</v>
      </c>
      <c r="E160" s="3">
        <v>167.37535099999999</v>
      </c>
      <c r="F160" s="3">
        <v>172.65373199999999</v>
      </c>
      <c r="G160" s="3">
        <v>179.44459499999999</v>
      </c>
      <c r="H160" s="3">
        <v>172.94459499999999</v>
      </c>
      <c r="I160" s="3">
        <v>180.98614499999999</v>
      </c>
      <c r="J160" s="3">
        <v>176.48614499999999</v>
      </c>
      <c r="K160" s="3">
        <v>101.5</v>
      </c>
      <c r="L160" s="3">
        <v>181.44459499999999</v>
      </c>
      <c r="M160" s="3">
        <v>179.44459499999999</v>
      </c>
      <c r="N160" s="3">
        <v>176.44459499999999</v>
      </c>
      <c r="O160" s="3">
        <v>110</v>
      </c>
      <c r="P160" s="3">
        <v>148</v>
      </c>
      <c r="Q160" s="3">
        <v>153.5</v>
      </c>
      <c r="R160" s="3">
        <v>130.09184300000001</v>
      </c>
    </row>
    <row r="161" spans="2:18" x14ac:dyDescent="0.25">
      <c r="B161" s="3" t="s">
        <v>152</v>
      </c>
      <c r="C161" s="3">
        <v>128.5</v>
      </c>
      <c r="D161" s="3">
        <v>0</v>
      </c>
      <c r="E161" s="3">
        <v>106.861115</v>
      </c>
      <c r="F161" s="3">
        <v>96.75</v>
      </c>
      <c r="G161" s="3">
        <v>125.861115</v>
      </c>
      <c r="H161" s="3">
        <v>120.5</v>
      </c>
      <c r="I161" s="3">
        <v>125.361115</v>
      </c>
      <c r="J161" s="3">
        <v>126.5</v>
      </c>
      <c r="K161" s="3">
        <v>35</v>
      </c>
      <c r="L161" s="3">
        <v>125.5</v>
      </c>
      <c r="M161" s="3">
        <v>127</v>
      </c>
      <c r="N161" s="3">
        <v>127</v>
      </c>
      <c r="O161" s="3">
        <v>35</v>
      </c>
      <c r="P161" s="3">
        <v>97.5</v>
      </c>
      <c r="Q161" s="3">
        <v>107.5</v>
      </c>
      <c r="R161" s="3">
        <v>200.55860000000001</v>
      </c>
    </row>
    <row r="162" spans="2:18" x14ac:dyDescent="0.25">
      <c r="B162" s="3" t="s">
        <v>153</v>
      </c>
      <c r="C162" s="3">
        <v>149.44999999999999</v>
      </c>
      <c r="D162" s="3">
        <v>0</v>
      </c>
      <c r="E162" s="3">
        <v>130.449997</v>
      </c>
      <c r="F162" s="3">
        <v>99.199996999999996</v>
      </c>
      <c r="G162" s="3">
        <v>146.449997</v>
      </c>
      <c r="H162" s="3">
        <v>142.449997</v>
      </c>
      <c r="I162" s="3">
        <v>146.449997</v>
      </c>
      <c r="J162" s="3">
        <v>146.300003</v>
      </c>
      <c r="K162" s="3">
        <v>52</v>
      </c>
      <c r="L162" s="3">
        <v>141.050003</v>
      </c>
      <c r="M162" s="3">
        <v>139.800003</v>
      </c>
      <c r="N162" s="3">
        <v>140.449997</v>
      </c>
      <c r="O162" s="3">
        <v>58.050002999999997</v>
      </c>
      <c r="P162" s="3">
        <v>70.5</v>
      </c>
      <c r="Q162" s="3">
        <v>130</v>
      </c>
      <c r="R162" s="3">
        <v>181.44459499999999</v>
      </c>
    </row>
    <row r="163" spans="2:18" x14ac:dyDescent="0.25">
      <c r="B163" s="3" t="s">
        <v>154</v>
      </c>
      <c r="C163" s="3">
        <v>182.15780000000001</v>
      </c>
      <c r="D163" s="3">
        <v>86.897800000000004</v>
      </c>
      <c r="E163" s="3">
        <v>166.15777600000001</v>
      </c>
      <c r="F163" s="3">
        <v>182.65777600000001</v>
      </c>
      <c r="G163" s="3">
        <v>183.164444</v>
      </c>
      <c r="H163" s="3">
        <v>179.65777600000001</v>
      </c>
      <c r="I163" s="3">
        <v>184.65777600000001</v>
      </c>
      <c r="J163" s="3">
        <v>183.164444</v>
      </c>
      <c r="K163" s="3">
        <v>103.63110399999999</v>
      </c>
      <c r="L163" s="3">
        <v>180.15777600000001</v>
      </c>
      <c r="M163" s="3">
        <v>182.65777600000001</v>
      </c>
      <c r="N163" s="3">
        <v>182.164444</v>
      </c>
      <c r="O163" s="3">
        <v>103.63110399999999</v>
      </c>
      <c r="P163" s="3">
        <v>115.5</v>
      </c>
      <c r="Q163" s="3">
        <v>172</v>
      </c>
      <c r="R163" s="3">
        <v>128.5</v>
      </c>
    </row>
    <row r="164" spans="2:18" x14ac:dyDescent="0.25">
      <c r="B164" s="3" t="s">
        <v>155</v>
      </c>
      <c r="C164" s="3">
        <v>151.39269999999999</v>
      </c>
      <c r="D164" s="3">
        <v>0</v>
      </c>
      <c r="E164" s="3">
        <v>145.283737</v>
      </c>
      <c r="F164" s="3">
        <v>136.63494900000001</v>
      </c>
      <c r="G164" s="3">
        <v>156.53460699999999</v>
      </c>
      <c r="H164" s="3">
        <v>145.783737</v>
      </c>
      <c r="I164" s="3">
        <v>157.03460699999999</v>
      </c>
      <c r="J164" s="3">
        <v>157.783737</v>
      </c>
      <c r="K164" s="3">
        <v>39.5</v>
      </c>
      <c r="L164" s="3">
        <v>157.283737</v>
      </c>
      <c r="M164" s="3">
        <v>152.03460699999999</v>
      </c>
      <c r="N164" s="3">
        <v>145.63841199999999</v>
      </c>
      <c r="O164" s="3">
        <v>47.570937999999998</v>
      </c>
      <c r="P164" s="3">
        <v>51.5</v>
      </c>
      <c r="Q164" s="3">
        <v>97.5</v>
      </c>
      <c r="R164" s="3">
        <v>149.44999999999999</v>
      </c>
    </row>
    <row r="165" spans="2:18" x14ac:dyDescent="0.25">
      <c r="B165" s="3" t="s">
        <v>156</v>
      </c>
      <c r="C165" s="3">
        <v>195.3272</v>
      </c>
      <c r="D165" s="3">
        <v>66.611000000000004</v>
      </c>
      <c r="E165" s="3">
        <v>203.94444300000001</v>
      </c>
      <c r="F165" s="3">
        <v>201.17901599999999</v>
      </c>
      <c r="G165" s="3">
        <v>208.30864</v>
      </c>
      <c r="H165" s="3">
        <v>204.30864</v>
      </c>
      <c r="I165" s="3">
        <v>207.80864</v>
      </c>
      <c r="J165" s="3">
        <v>205.44444300000001</v>
      </c>
      <c r="K165" s="3">
        <v>63.216048999999998</v>
      </c>
      <c r="L165" s="3">
        <v>207.94444300000001</v>
      </c>
      <c r="M165" s="3">
        <v>208.94444300000001</v>
      </c>
      <c r="N165" s="3">
        <v>207.82716400000001</v>
      </c>
      <c r="O165" s="3">
        <v>81.444443000000007</v>
      </c>
      <c r="P165" s="3">
        <v>164.5</v>
      </c>
      <c r="Q165" s="3">
        <v>189</v>
      </c>
      <c r="R165" s="3">
        <v>184.65777600000001</v>
      </c>
    </row>
    <row r="166" spans="2:18" x14ac:dyDescent="0.25">
      <c r="B166" s="3" t="s">
        <v>157</v>
      </c>
      <c r="C166" s="3">
        <v>91.621300000000005</v>
      </c>
      <c r="D166" s="3">
        <v>14.940799999999999</v>
      </c>
      <c r="E166" s="3">
        <v>60.937866</v>
      </c>
      <c r="F166" s="3">
        <v>52.591717000000003</v>
      </c>
      <c r="G166" s="3">
        <v>90.609466999999995</v>
      </c>
      <c r="H166" s="3">
        <v>87.609466999999995</v>
      </c>
      <c r="I166" s="3">
        <v>89.621300000000005</v>
      </c>
      <c r="J166" s="3">
        <v>90.609466999999995</v>
      </c>
      <c r="K166" s="3">
        <v>53.559173999999999</v>
      </c>
      <c r="L166" s="3">
        <v>89.621300000000005</v>
      </c>
      <c r="M166" s="3">
        <v>90.621300000000005</v>
      </c>
      <c r="N166" s="3">
        <v>89.621300000000005</v>
      </c>
      <c r="O166" s="3">
        <v>53.559173999999999</v>
      </c>
      <c r="P166" s="3">
        <v>43</v>
      </c>
      <c r="Q166" s="3">
        <v>63.5</v>
      </c>
      <c r="R166" s="3">
        <v>157.783737</v>
      </c>
    </row>
    <row r="167" spans="2:18" x14ac:dyDescent="0.25">
      <c r="B167" s="3" t="s">
        <v>158</v>
      </c>
      <c r="C167" s="3">
        <v>205.38</v>
      </c>
      <c r="D167" s="3">
        <v>0</v>
      </c>
      <c r="E167" s="3">
        <v>150.41999799999999</v>
      </c>
      <c r="F167" s="3">
        <v>178.08000200000001</v>
      </c>
      <c r="G167" s="3">
        <v>203.520004</v>
      </c>
      <c r="H167" s="3">
        <v>202.88000500000001</v>
      </c>
      <c r="I167" s="3">
        <v>207.88000500000001</v>
      </c>
      <c r="J167" s="3">
        <v>207.88000500000001</v>
      </c>
      <c r="K167" s="3">
        <v>114</v>
      </c>
      <c r="L167" s="3">
        <v>203.520004</v>
      </c>
      <c r="M167" s="3">
        <v>207.38000500000001</v>
      </c>
      <c r="N167" s="3">
        <v>207.38000500000001</v>
      </c>
      <c r="O167" s="3">
        <v>115</v>
      </c>
      <c r="P167" s="3">
        <v>79.5</v>
      </c>
      <c r="Q167" s="3">
        <v>187.5</v>
      </c>
      <c r="R167" s="3">
        <v>208.94444300000001</v>
      </c>
    </row>
    <row r="168" spans="2:18" x14ac:dyDescent="0.25">
      <c r="B168" s="3" t="s">
        <v>159</v>
      </c>
      <c r="C168" s="3">
        <v>62.9</v>
      </c>
      <c r="D168" s="3">
        <v>0</v>
      </c>
      <c r="E168" s="3">
        <v>47.099997999999999</v>
      </c>
      <c r="F168" s="3">
        <v>27.9</v>
      </c>
      <c r="G168" s="3">
        <v>59.400002000000001</v>
      </c>
      <c r="H168" s="3">
        <v>58.525002000000001</v>
      </c>
      <c r="I168" s="3">
        <v>63.900002000000001</v>
      </c>
      <c r="J168" s="3">
        <v>62.900002000000001</v>
      </c>
      <c r="K168" s="3">
        <v>0</v>
      </c>
      <c r="L168" s="3">
        <v>62.525002000000001</v>
      </c>
      <c r="M168" s="3">
        <v>62.025002000000001</v>
      </c>
      <c r="N168" s="3">
        <v>62.525002000000001</v>
      </c>
      <c r="O168" s="3">
        <v>0</v>
      </c>
      <c r="P168" s="3">
        <v>27</v>
      </c>
      <c r="Q168" s="3">
        <v>34.5</v>
      </c>
      <c r="R168" s="3">
        <v>91.621300000000005</v>
      </c>
    </row>
    <row r="169" spans="2:18" x14ac:dyDescent="0.25">
      <c r="B169" s="3" t="s">
        <v>160</v>
      </c>
      <c r="C169" s="3">
        <v>88</v>
      </c>
      <c r="D169" s="3">
        <v>0</v>
      </c>
      <c r="E169" s="3">
        <v>88</v>
      </c>
      <c r="F169" s="3">
        <v>88</v>
      </c>
      <c r="G169" s="3">
        <v>88</v>
      </c>
      <c r="H169" s="3">
        <v>88</v>
      </c>
      <c r="I169" s="3">
        <v>88</v>
      </c>
      <c r="J169" s="3">
        <v>88</v>
      </c>
      <c r="K169" s="3">
        <v>0</v>
      </c>
      <c r="L169" s="3">
        <v>88</v>
      </c>
      <c r="M169" s="3">
        <v>88</v>
      </c>
      <c r="N169" s="3">
        <v>88</v>
      </c>
      <c r="O169" s="3">
        <v>0</v>
      </c>
      <c r="P169" s="3">
        <v>88</v>
      </c>
      <c r="Q169" s="3">
        <v>88</v>
      </c>
      <c r="R169" s="3">
        <v>207.88000500000001</v>
      </c>
    </row>
    <row r="170" spans="2:18" x14ac:dyDescent="0.25">
      <c r="B170" s="3" t="s">
        <v>161</v>
      </c>
      <c r="C170" s="3">
        <v>44.531300000000002</v>
      </c>
      <c r="D170" s="3">
        <v>16.142600000000002</v>
      </c>
      <c r="E170" s="3">
        <v>33.861328</v>
      </c>
      <c r="F170" s="3">
        <v>44.53125</v>
      </c>
      <c r="G170" s="3">
        <v>44.53125</v>
      </c>
      <c r="H170" s="3">
        <v>39.361328</v>
      </c>
      <c r="I170" s="3">
        <v>44.53125</v>
      </c>
      <c r="J170" s="3">
        <v>44.53125</v>
      </c>
      <c r="K170" s="3">
        <v>0</v>
      </c>
      <c r="L170" s="3">
        <v>44.53125</v>
      </c>
      <c r="M170" s="3">
        <v>42.53125</v>
      </c>
      <c r="N170" s="3">
        <v>41.861328</v>
      </c>
      <c r="O170" s="3">
        <v>0</v>
      </c>
      <c r="P170" s="3">
        <v>9.5</v>
      </c>
      <c r="Q170" s="3">
        <v>5.5</v>
      </c>
      <c r="R170" s="3">
        <v>63.900002000000001</v>
      </c>
    </row>
    <row r="171" spans="2:18" x14ac:dyDescent="0.25">
      <c r="B171" s="3" t="s">
        <v>162</v>
      </c>
      <c r="C171" s="3">
        <v>42.5</v>
      </c>
      <c r="D171" s="3">
        <v>0</v>
      </c>
      <c r="E171" s="3">
        <v>42</v>
      </c>
      <c r="F171" s="3">
        <v>42.5</v>
      </c>
      <c r="G171" s="3">
        <v>42.5</v>
      </c>
      <c r="H171" s="3">
        <v>42.5</v>
      </c>
      <c r="I171" s="3">
        <v>42.5</v>
      </c>
      <c r="J171" s="3">
        <v>42.5</v>
      </c>
      <c r="K171" s="3">
        <v>0</v>
      </c>
      <c r="L171" s="3">
        <v>42.5</v>
      </c>
      <c r="M171" s="3">
        <v>42.5</v>
      </c>
      <c r="N171" s="3">
        <v>42.5</v>
      </c>
      <c r="O171" s="3">
        <v>0</v>
      </c>
      <c r="P171" s="3">
        <v>42.5</v>
      </c>
      <c r="Q171" s="3">
        <v>42.5</v>
      </c>
      <c r="R171" s="3">
        <v>88</v>
      </c>
    </row>
    <row r="172" spans="2:18" x14ac:dyDescent="0.25">
      <c r="B172" s="3" t="s">
        <v>163</v>
      </c>
      <c r="C172" s="3">
        <v>32</v>
      </c>
      <c r="D172" s="3">
        <v>0</v>
      </c>
      <c r="E172" s="3">
        <v>30</v>
      </c>
      <c r="F172" s="3">
        <v>20.48</v>
      </c>
      <c r="G172" s="3">
        <v>32</v>
      </c>
      <c r="H172" s="3">
        <v>30.5</v>
      </c>
      <c r="I172" s="3">
        <v>32</v>
      </c>
      <c r="J172" s="3">
        <v>32</v>
      </c>
      <c r="K172" s="3">
        <v>0</v>
      </c>
      <c r="L172" s="3">
        <v>32</v>
      </c>
      <c r="M172" s="3">
        <v>32</v>
      </c>
      <c r="N172" s="3">
        <v>32</v>
      </c>
      <c r="O172" s="3">
        <v>0</v>
      </c>
      <c r="P172" s="3">
        <v>12.5</v>
      </c>
      <c r="Q172" s="3">
        <v>32</v>
      </c>
      <c r="R172" s="3">
        <v>44.531300000000002</v>
      </c>
    </row>
    <row r="173" spans="2:18" x14ac:dyDescent="0.25">
      <c r="B173" s="3" t="s">
        <v>164</v>
      </c>
      <c r="C173" s="3">
        <v>47</v>
      </c>
      <c r="D173" s="3">
        <v>26.1111</v>
      </c>
      <c r="E173" s="3">
        <v>45</v>
      </c>
      <c r="F173" s="3">
        <v>47</v>
      </c>
      <c r="G173" s="3">
        <v>47</v>
      </c>
      <c r="H173" s="3">
        <v>47</v>
      </c>
      <c r="I173" s="3">
        <v>47</v>
      </c>
      <c r="J173" s="3">
        <v>47</v>
      </c>
      <c r="K173" s="3">
        <v>0</v>
      </c>
      <c r="L173" s="3">
        <v>47</v>
      </c>
      <c r="M173" s="3">
        <v>47</v>
      </c>
      <c r="N173" s="3">
        <v>47</v>
      </c>
      <c r="O173" s="3">
        <v>0</v>
      </c>
      <c r="P173" s="3">
        <v>38</v>
      </c>
      <c r="Q173" s="3">
        <v>47</v>
      </c>
      <c r="R173" s="3">
        <v>42.5</v>
      </c>
    </row>
    <row r="174" spans="2:18" x14ac:dyDescent="0.25">
      <c r="B174" s="3" t="s">
        <v>165</v>
      </c>
      <c r="C174" s="3">
        <v>66.56</v>
      </c>
      <c r="D174" s="3">
        <v>13.965</v>
      </c>
      <c r="E174" s="3">
        <v>44.885002</v>
      </c>
      <c r="F174" s="3">
        <v>0</v>
      </c>
      <c r="G174" s="3">
        <v>66.059997999999993</v>
      </c>
      <c r="H174" s="3">
        <v>62.385002</v>
      </c>
      <c r="I174" s="3">
        <v>65.559997999999993</v>
      </c>
      <c r="J174" s="3">
        <v>66.059997999999993</v>
      </c>
      <c r="K174" s="3">
        <v>0</v>
      </c>
      <c r="L174" s="3">
        <v>66.059997999999993</v>
      </c>
      <c r="M174" s="3">
        <v>67.059997999999993</v>
      </c>
      <c r="N174" s="3">
        <v>66.059997999999993</v>
      </c>
      <c r="O174" s="3">
        <v>0</v>
      </c>
      <c r="P174" s="3">
        <v>0</v>
      </c>
      <c r="Q174" s="3">
        <v>32</v>
      </c>
      <c r="R174" s="3">
        <v>32</v>
      </c>
    </row>
    <row r="175" spans="2:18" x14ac:dyDescent="0.25">
      <c r="B175" s="3" t="s">
        <v>166</v>
      </c>
      <c r="C175" s="3">
        <v>44.875</v>
      </c>
      <c r="D175" s="3">
        <v>0</v>
      </c>
      <c r="E175" s="3">
        <v>31.5</v>
      </c>
      <c r="F175" s="3">
        <v>21.875</v>
      </c>
      <c r="G175" s="3">
        <v>44.875</v>
      </c>
      <c r="H175" s="3">
        <v>44.875</v>
      </c>
      <c r="I175" s="3">
        <v>44.875</v>
      </c>
      <c r="J175" s="3">
        <v>44.875</v>
      </c>
      <c r="K175" s="3">
        <v>37.875</v>
      </c>
      <c r="L175" s="3">
        <v>44.875</v>
      </c>
      <c r="M175" s="3">
        <v>44.875</v>
      </c>
      <c r="N175" s="3">
        <v>44.875</v>
      </c>
      <c r="O175" s="3">
        <v>37.875</v>
      </c>
      <c r="P175" s="3">
        <v>38.875</v>
      </c>
      <c r="Q175" s="3">
        <v>42.875</v>
      </c>
      <c r="R175" s="3">
        <v>47</v>
      </c>
    </row>
    <row r="176" spans="2:18" x14ac:dyDescent="0.25">
      <c r="B176" s="3" t="s">
        <v>167</v>
      </c>
      <c r="C176" s="3">
        <v>26.457799999999999</v>
      </c>
      <c r="D176" s="3">
        <v>3.431</v>
      </c>
      <c r="E176" s="3">
        <v>20.611111000000001</v>
      </c>
      <c r="F176" s="3">
        <v>22.857779000000001</v>
      </c>
      <c r="G176" s="3">
        <v>26.457777</v>
      </c>
      <c r="H176" s="3">
        <v>25.957777</v>
      </c>
      <c r="I176" s="3">
        <v>26.457777</v>
      </c>
      <c r="J176" s="3">
        <v>26.457777</v>
      </c>
      <c r="K176" s="3">
        <v>10.780001</v>
      </c>
      <c r="L176" s="3">
        <v>26.457777</v>
      </c>
      <c r="M176" s="3">
        <v>26.457777</v>
      </c>
      <c r="N176" s="3">
        <v>26.457777</v>
      </c>
      <c r="O176" s="3">
        <v>10.780001</v>
      </c>
      <c r="P176" s="3">
        <v>24.864445</v>
      </c>
      <c r="Q176" s="3">
        <v>22.864445</v>
      </c>
      <c r="R176" s="3">
        <v>67.059997999999993</v>
      </c>
    </row>
    <row r="177" spans="2:18" x14ac:dyDescent="0.25">
      <c r="B177" s="3" t="s">
        <v>168</v>
      </c>
      <c r="C177" s="3">
        <v>39.945300000000003</v>
      </c>
      <c r="D177" s="3">
        <v>0</v>
      </c>
      <c r="E177" s="3">
        <v>38.445312999999999</v>
      </c>
      <c r="F177" s="3">
        <v>27.017578</v>
      </c>
      <c r="G177" s="3">
        <v>39.945312999999999</v>
      </c>
      <c r="H177" s="3">
        <v>39.945312999999999</v>
      </c>
      <c r="I177" s="3">
        <v>39.945312999999999</v>
      </c>
      <c r="J177" s="3">
        <v>39.945312999999999</v>
      </c>
      <c r="K177" s="3">
        <v>30.923828</v>
      </c>
      <c r="L177" s="3">
        <v>39.945312999999999</v>
      </c>
      <c r="M177" s="3">
        <v>39.945312999999999</v>
      </c>
      <c r="N177" s="3">
        <v>39.945312999999999</v>
      </c>
      <c r="O177" s="3">
        <v>30.923828</v>
      </c>
      <c r="P177" s="3">
        <v>35.945312999999999</v>
      </c>
      <c r="Q177" s="3">
        <v>35.945312999999999</v>
      </c>
      <c r="R177" s="3">
        <v>44.875</v>
      </c>
    </row>
    <row r="178" spans="2:18" x14ac:dyDescent="0.25">
      <c r="B178" s="3" t="s">
        <v>169</v>
      </c>
      <c r="C178" s="3">
        <v>94</v>
      </c>
      <c r="D178" s="3">
        <v>0</v>
      </c>
      <c r="E178" s="3">
        <v>83</v>
      </c>
      <c r="F178" s="3">
        <v>52.777779000000002</v>
      </c>
      <c r="G178" s="3">
        <v>92.361114999999998</v>
      </c>
      <c r="H178" s="3">
        <v>94</v>
      </c>
      <c r="I178" s="3">
        <v>92.361114999999998</v>
      </c>
      <c r="J178" s="3">
        <v>94</v>
      </c>
      <c r="K178" s="3">
        <v>60.5</v>
      </c>
      <c r="L178" s="3">
        <v>92.361114999999998</v>
      </c>
      <c r="M178" s="3">
        <v>94</v>
      </c>
      <c r="N178" s="3">
        <v>94</v>
      </c>
      <c r="O178" s="3">
        <v>60.5</v>
      </c>
      <c r="P178" s="3">
        <v>85</v>
      </c>
      <c r="Q178" s="3">
        <v>91</v>
      </c>
      <c r="R178" s="3">
        <v>26.457799999999999</v>
      </c>
    </row>
    <row r="179" spans="2:18" x14ac:dyDescent="0.25">
      <c r="B179" s="3" t="s">
        <v>170</v>
      </c>
      <c r="C179" s="3">
        <v>55.720199999999998</v>
      </c>
      <c r="D179" s="3">
        <v>0</v>
      </c>
      <c r="E179" s="3">
        <v>45.620499000000002</v>
      </c>
      <c r="F179" s="3">
        <v>52.778393000000001</v>
      </c>
      <c r="G179" s="3">
        <v>55.591411999999998</v>
      </c>
      <c r="H179" s="3">
        <v>55.720222</v>
      </c>
      <c r="I179" s="3">
        <v>52.778393000000001</v>
      </c>
      <c r="J179" s="3">
        <v>55.720222</v>
      </c>
      <c r="K179" s="3">
        <v>48.220222</v>
      </c>
      <c r="L179" s="3">
        <v>55.591411999999998</v>
      </c>
      <c r="M179" s="3">
        <v>55.720222</v>
      </c>
      <c r="N179" s="3">
        <v>55.720222</v>
      </c>
      <c r="O179" s="3">
        <v>48.220222</v>
      </c>
      <c r="P179" s="3">
        <v>45.680053999999998</v>
      </c>
      <c r="Q179" s="3">
        <v>44.680053999999998</v>
      </c>
      <c r="R179" s="3">
        <v>39.945312999999999</v>
      </c>
    </row>
    <row r="180" spans="2:18" x14ac:dyDescent="0.25">
      <c r="B180" s="3" t="s">
        <v>171</v>
      </c>
      <c r="C180" s="3">
        <v>28.112200000000001</v>
      </c>
      <c r="D180" s="3">
        <v>0</v>
      </c>
      <c r="E180" s="3">
        <v>26.112244</v>
      </c>
      <c r="F180" s="3">
        <v>0</v>
      </c>
      <c r="G180" s="3">
        <v>26.112244</v>
      </c>
      <c r="H180" s="3">
        <v>28.112244</v>
      </c>
      <c r="I180" s="3">
        <v>25.612244</v>
      </c>
      <c r="J180" s="3">
        <v>28.112244</v>
      </c>
      <c r="K180" s="3">
        <v>15.612244</v>
      </c>
      <c r="L180" s="3">
        <v>26.112244</v>
      </c>
      <c r="M180" s="3">
        <v>28.112244</v>
      </c>
      <c r="N180" s="3">
        <v>26.112244</v>
      </c>
      <c r="O180" s="3">
        <v>15.612244</v>
      </c>
      <c r="P180" s="3">
        <v>17.5</v>
      </c>
      <c r="Q180" s="3">
        <v>21.5</v>
      </c>
      <c r="R180" s="3">
        <v>94</v>
      </c>
    </row>
    <row r="181" spans="2:18" x14ac:dyDescent="0.25">
      <c r="B181" s="3" t="s">
        <v>172</v>
      </c>
      <c r="C181" s="3">
        <v>33.5</v>
      </c>
      <c r="D181" s="3">
        <v>14.6563</v>
      </c>
      <c r="E181" s="3">
        <v>33.5</v>
      </c>
      <c r="F181" s="3">
        <v>33.5</v>
      </c>
      <c r="G181" s="3">
        <v>33.5</v>
      </c>
      <c r="H181" s="3">
        <v>33.5</v>
      </c>
      <c r="I181" s="3">
        <v>33.5</v>
      </c>
      <c r="J181" s="3">
        <v>33.5</v>
      </c>
      <c r="K181" s="3">
        <v>8.5</v>
      </c>
      <c r="L181" s="3">
        <v>33.5</v>
      </c>
      <c r="M181" s="3">
        <v>33.5</v>
      </c>
      <c r="N181" s="3">
        <v>33.5</v>
      </c>
      <c r="O181" s="3">
        <v>8.5</v>
      </c>
      <c r="P181" s="3">
        <v>22.5</v>
      </c>
      <c r="Q181" s="3">
        <v>33.5</v>
      </c>
      <c r="R181" s="3">
        <v>55.720222</v>
      </c>
    </row>
    <row r="182" spans="2:18" x14ac:dyDescent="0.25">
      <c r="B182" s="3" t="s">
        <v>173</v>
      </c>
      <c r="C182" s="3">
        <v>56.02</v>
      </c>
      <c r="D182" s="3">
        <v>25.1037</v>
      </c>
      <c r="E182" s="3">
        <v>49.438774000000002</v>
      </c>
      <c r="F182" s="3">
        <v>50.612243999999997</v>
      </c>
      <c r="G182" s="3">
        <v>55.400410000000001</v>
      </c>
      <c r="H182" s="3">
        <v>55.260815000000001</v>
      </c>
      <c r="I182" s="3">
        <v>56.02</v>
      </c>
      <c r="J182" s="3">
        <v>55.760815000000001</v>
      </c>
      <c r="K182" s="3">
        <v>34.190204999999999</v>
      </c>
      <c r="L182" s="3">
        <v>55.400410000000001</v>
      </c>
      <c r="M182" s="3">
        <v>56.02</v>
      </c>
      <c r="N182" s="3">
        <v>55.760815000000001</v>
      </c>
      <c r="O182" s="3">
        <v>34.190204999999999</v>
      </c>
      <c r="P182" s="3">
        <v>44.297550000000001</v>
      </c>
      <c r="Q182" s="3">
        <v>47.297550000000001</v>
      </c>
      <c r="R182" s="3">
        <v>28.112244</v>
      </c>
    </row>
    <row r="183" spans="2:18" x14ac:dyDescent="0.25">
      <c r="B183" s="3" t="s">
        <v>174</v>
      </c>
      <c r="C183" s="3">
        <v>74.106499999999997</v>
      </c>
      <c r="D183" s="3">
        <v>0</v>
      </c>
      <c r="E183" s="3">
        <v>65.519974000000005</v>
      </c>
      <c r="F183" s="3">
        <v>64.926033000000004</v>
      </c>
      <c r="G183" s="3">
        <v>73.019974000000005</v>
      </c>
      <c r="H183" s="3">
        <v>73.106505999999996</v>
      </c>
      <c r="I183" s="3">
        <v>72.689346</v>
      </c>
      <c r="J183" s="3">
        <v>73.606505999999996</v>
      </c>
      <c r="K183" s="3">
        <v>54.547339999999998</v>
      </c>
      <c r="L183" s="3">
        <v>73.019974000000005</v>
      </c>
      <c r="M183" s="3">
        <v>74.106505999999996</v>
      </c>
      <c r="N183" s="3">
        <v>73.519974000000005</v>
      </c>
      <c r="O183" s="3">
        <v>54.547339999999998</v>
      </c>
      <c r="P183" s="3">
        <v>44.877960000000002</v>
      </c>
      <c r="Q183" s="3">
        <v>59.877960000000002</v>
      </c>
      <c r="R183" s="3">
        <v>33.5</v>
      </c>
    </row>
    <row r="184" spans="2:18" x14ac:dyDescent="0.25">
      <c r="B184" s="3" t="s">
        <v>175</v>
      </c>
      <c r="C184" s="3">
        <v>19.7639</v>
      </c>
      <c r="D184" s="3">
        <v>0</v>
      </c>
      <c r="E184" s="3">
        <v>19.763888999999999</v>
      </c>
      <c r="F184" s="3">
        <v>15.875</v>
      </c>
      <c r="G184" s="3">
        <v>19.555554999999998</v>
      </c>
      <c r="H184" s="3">
        <v>19.763888999999999</v>
      </c>
      <c r="I184" s="3">
        <v>19.555554999999998</v>
      </c>
      <c r="J184" s="3">
        <v>19.763888999999999</v>
      </c>
      <c r="K184" s="3">
        <v>0</v>
      </c>
      <c r="L184" s="3">
        <v>19.555554999999998</v>
      </c>
      <c r="M184" s="3">
        <v>19.763888999999999</v>
      </c>
      <c r="N184" s="3">
        <v>19.555554999999998</v>
      </c>
      <c r="O184" s="3">
        <v>0</v>
      </c>
      <c r="P184" s="3">
        <v>0</v>
      </c>
      <c r="Q184" s="3">
        <v>17</v>
      </c>
      <c r="R184" s="3">
        <v>56.02</v>
      </c>
    </row>
    <row r="185" spans="2:18" x14ac:dyDescent="0.25">
      <c r="B185" s="3" t="s">
        <v>176</v>
      </c>
      <c r="C185" s="3">
        <v>9.5</v>
      </c>
      <c r="D185" s="3">
        <v>9.4222000000000001</v>
      </c>
      <c r="E185" s="3">
        <v>7.5</v>
      </c>
      <c r="F185" s="3">
        <v>0</v>
      </c>
      <c r="G185" s="3">
        <v>9.5</v>
      </c>
      <c r="H185" s="3">
        <v>9.5</v>
      </c>
      <c r="I185" s="3">
        <v>9.5</v>
      </c>
      <c r="J185" s="3">
        <v>9.5</v>
      </c>
      <c r="K185" s="3">
        <v>0</v>
      </c>
      <c r="L185" s="3">
        <v>9.5</v>
      </c>
      <c r="M185" s="3">
        <v>9.5</v>
      </c>
      <c r="N185" s="3">
        <v>9.5</v>
      </c>
      <c r="O185" s="3">
        <v>0</v>
      </c>
      <c r="P185" s="3">
        <v>5</v>
      </c>
      <c r="Q185" s="3">
        <v>9.5</v>
      </c>
      <c r="R185" s="3">
        <v>74.106505999999996</v>
      </c>
    </row>
    <row r="186" spans="2:18" x14ac:dyDescent="0.25">
      <c r="B186" s="3" t="s">
        <v>177</v>
      </c>
      <c r="C186" s="3">
        <v>6.5</v>
      </c>
      <c r="D186" s="3">
        <v>0</v>
      </c>
      <c r="E186" s="3">
        <v>6.5</v>
      </c>
      <c r="F186" s="3">
        <v>0</v>
      </c>
      <c r="G186" s="3">
        <v>6.5</v>
      </c>
      <c r="H186" s="3">
        <v>6.5</v>
      </c>
      <c r="I186" s="3">
        <v>6.5</v>
      </c>
      <c r="J186" s="3">
        <v>6.5</v>
      </c>
      <c r="K186" s="3">
        <v>0</v>
      </c>
      <c r="L186" s="3">
        <v>6.5</v>
      </c>
      <c r="M186" s="3">
        <v>6.5</v>
      </c>
      <c r="N186" s="3">
        <v>6.5</v>
      </c>
      <c r="O186" s="3">
        <v>0</v>
      </c>
      <c r="P186" s="3">
        <v>0</v>
      </c>
      <c r="Q186" s="3">
        <v>6.5</v>
      </c>
      <c r="R186" s="3">
        <v>19.7639</v>
      </c>
    </row>
    <row r="187" spans="2:18" x14ac:dyDescent="0.25">
      <c r="B187" s="3" t="s">
        <v>178</v>
      </c>
      <c r="C187" s="3">
        <v>5</v>
      </c>
      <c r="D187" s="3">
        <v>2.75</v>
      </c>
      <c r="E187" s="3">
        <v>5</v>
      </c>
      <c r="F187" s="3">
        <v>4.75</v>
      </c>
      <c r="G187" s="3">
        <v>2.75</v>
      </c>
      <c r="H187" s="3">
        <v>5</v>
      </c>
      <c r="I187" s="3">
        <v>2.75</v>
      </c>
      <c r="J187" s="3">
        <v>5</v>
      </c>
      <c r="K187" s="3">
        <v>0</v>
      </c>
      <c r="L187" s="3">
        <v>2.75</v>
      </c>
      <c r="M187" s="3">
        <v>5</v>
      </c>
      <c r="N187" s="3">
        <v>5</v>
      </c>
      <c r="O187" s="3">
        <v>0</v>
      </c>
      <c r="P187" s="3">
        <v>0</v>
      </c>
      <c r="Q187" s="3">
        <v>2.5</v>
      </c>
      <c r="R187" s="3">
        <v>9.5</v>
      </c>
    </row>
    <row r="188" spans="2:18" x14ac:dyDescent="0.25">
      <c r="B188" s="3" t="s">
        <v>179</v>
      </c>
      <c r="C188" s="3">
        <v>10.5</v>
      </c>
      <c r="D188" s="3">
        <v>9.0234000000000005</v>
      </c>
      <c r="E188" s="3">
        <v>10.5</v>
      </c>
      <c r="F188" s="3">
        <v>10.5</v>
      </c>
      <c r="G188" s="3">
        <v>10.5</v>
      </c>
      <c r="H188" s="3">
        <v>10.5</v>
      </c>
      <c r="I188" s="3">
        <v>10.5</v>
      </c>
      <c r="J188" s="3">
        <v>10.5</v>
      </c>
      <c r="K188" s="3">
        <v>0</v>
      </c>
      <c r="L188" s="3">
        <v>10.5</v>
      </c>
      <c r="M188" s="3">
        <v>10.5</v>
      </c>
      <c r="N188" s="3">
        <v>10.5</v>
      </c>
      <c r="O188" s="3">
        <v>0</v>
      </c>
      <c r="P188" s="3">
        <v>7.5</v>
      </c>
      <c r="Q188" s="3">
        <v>10.5</v>
      </c>
      <c r="R188" s="3">
        <v>6.5</v>
      </c>
    </row>
    <row r="189" spans="2:18" x14ac:dyDescent="0.25">
      <c r="B189" s="3" t="s">
        <v>180</v>
      </c>
      <c r="C189" s="3">
        <v>19.16</v>
      </c>
      <c r="D189" s="3">
        <v>0</v>
      </c>
      <c r="E189" s="3">
        <v>19.16</v>
      </c>
      <c r="F189" s="3">
        <v>19.16</v>
      </c>
      <c r="G189" s="3">
        <v>18.66</v>
      </c>
      <c r="H189" s="3">
        <v>19.16</v>
      </c>
      <c r="I189" s="3">
        <v>18.66</v>
      </c>
      <c r="J189" s="3">
        <v>19.16</v>
      </c>
      <c r="K189" s="3">
        <v>0</v>
      </c>
      <c r="L189" s="3">
        <v>18.66</v>
      </c>
      <c r="M189" s="3">
        <v>19.16</v>
      </c>
      <c r="N189" s="3">
        <v>19.16</v>
      </c>
      <c r="O189" s="3">
        <v>0</v>
      </c>
      <c r="P189" s="3">
        <v>0</v>
      </c>
      <c r="Q189" s="3">
        <v>12.5</v>
      </c>
      <c r="R189" s="3">
        <v>5</v>
      </c>
    </row>
    <row r="190" spans="2:18" x14ac:dyDescent="0.25">
      <c r="B190" s="3" t="s">
        <v>181</v>
      </c>
      <c r="C190" s="3">
        <v>14</v>
      </c>
      <c r="D190" s="3">
        <v>0</v>
      </c>
      <c r="E190" s="3">
        <v>7.5</v>
      </c>
      <c r="F190" s="3">
        <v>0</v>
      </c>
      <c r="G190" s="3">
        <v>13.92</v>
      </c>
      <c r="H190" s="3">
        <v>14</v>
      </c>
      <c r="I190" s="3">
        <v>13.92</v>
      </c>
      <c r="J190" s="3">
        <v>14</v>
      </c>
      <c r="K190" s="3">
        <v>0</v>
      </c>
      <c r="L190" s="3">
        <v>13.92</v>
      </c>
      <c r="M190" s="3">
        <v>14</v>
      </c>
      <c r="N190" s="3">
        <v>14</v>
      </c>
      <c r="O190" s="3">
        <v>0</v>
      </c>
      <c r="P190" s="3">
        <v>6.5</v>
      </c>
      <c r="Q190" s="3">
        <v>12.5</v>
      </c>
      <c r="R190" s="3">
        <v>10.5</v>
      </c>
    </row>
    <row r="191" spans="2:18" x14ac:dyDescent="0.25">
      <c r="B191" s="3" t="s">
        <v>182</v>
      </c>
      <c r="C191" s="3">
        <v>18.48</v>
      </c>
      <c r="D191" s="3">
        <v>11.22</v>
      </c>
      <c r="E191" s="3">
        <v>8</v>
      </c>
      <c r="F191" s="3">
        <v>18.48</v>
      </c>
      <c r="G191" s="3">
        <v>18.48</v>
      </c>
      <c r="H191" s="3">
        <v>17.98</v>
      </c>
      <c r="I191" s="3">
        <v>18.48</v>
      </c>
      <c r="J191" s="3">
        <v>18.48</v>
      </c>
      <c r="K191" s="3">
        <v>0</v>
      </c>
      <c r="L191" s="3">
        <v>18.48</v>
      </c>
      <c r="M191" s="3">
        <v>18.48</v>
      </c>
      <c r="N191" s="3">
        <v>18.48</v>
      </c>
      <c r="O191" s="3">
        <v>0</v>
      </c>
      <c r="P191" s="3">
        <v>0</v>
      </c>
      <c r="Q191" s="3">
        <v>7</v>
      </c>
      <c r="R191" s="3">
        <v>19.16</v>
      </c>
    </row>
    <row r="192" spans="2:18" x14ac:dyDescent="0.25">
      <c r="B192" s="3" t="s">
        <v>183</v>
      </c>
      <c r="C192" s="3">
        <v>16</v>
      </c>
      <c r="D192" s="3">
        <v>0</v>
      </c>
      <c r="E192" s="3">
        <v>8.5</v>
      </c>
      <c r="F192" s="3">
        <v>0</v>
      </c>
      <c r="G192" s="3">
        <v>12.84375</v>
      </c>
      <c r="H192" s="3">
        <v>15.34375</v>
      </c>
      <c r="I192" s="3">
        <v>12.84375</v>
      </c>
      <c r="J192" s="3">
        <v>16</v>
      </c>
      <c r="K192" s="3">
        <v>0</v>
      </c>
      <c r="L192" s="3">
        <v>12.84375</v>
      </c>
      <c r="M192" s="3">
        <v>16</v>
      </c>
      <c r="N192" s="3">
        <v>15.84375</v>
      </c>
      <c r="O192" s="3">
        <v>0</v>
      </c>
      <c r="P192" s="3">
        <v>2</v>
      </c>
      <c r="Q192" s="3">
        <v>5</v>
      </c>
      <c r="R192" s="3">
        <v>14</v>
      </c>
    </row>
    <row r="193" spans="2:18" x14ac:dyDescent="0.25">
      <c r="B193" s="3" t="s">
        <v>184</v>
      </c>
      <c r="C193" s="3">
        <v>12</v>
      </c>
      <c r="D193" s="3">
        <v>2.8125</v>
      </c>
      <c r="E193" s="3">
        <v>12</v>
      </c>
      <c r="F193" s="3">
        <v>12</v>
      </c>
      <c r="G193" s="3">
        <v>12</v>
      </c>
      <c r="H193" s="3">
        <v>12</v>
      </c>
      <c r="I193" s="3">
        <v>12</v>
      </c>
      <c r="J193" s="3">
        <v>12</v>
      </c>
      <c r="K193" s="3">
        <v>0</v>
      </c>
      <c r="L193" s="3">
        <v>12</v>
      </c>
      <c r="M193" s="3">
        <v>12</v>
      </c>
      <c r="N193" s="3">
        <v>12</v>
      </c>
      <c r="O193" s="3">
        <v>0</v>
      </c>
      <c r="P193" s="3">
        <v>4.5</v>
      </c>
      <c r="Q193" s="3">
        <v>12</v>
      </c>
      <c r="R193" s="3">
        <v>18.48</v>
      </c>
    </row>
    <row r="194" spans="2:18" x14ac:dyDescent="0.25">
      <c r="B194" s="3" t="s">
        <v>185</v>
      </c>
      <c r="C194" s="3">
        <v>2.1562999999999999</v>
      </c>
      <c r="D194" s="3">
        <v>0</v>
      </c>
      <c r="E194" s="3">
        <v>2.15625</v>
      </c>
      <c r="F194" s="3">
        <v>0</v>
      </c>
      <c r="G194" s="3">
        <v>2.15625</v>
      </c>
      <c r="H194" s="3">
        <v>2.15625</v>
      </c>
      <c r="I194" s="3">
        <v>2.15625</v>
      </c>
      <c r="J194" s="3">
        <v>2.15625</v>
      </c>
      <c r="K194" s="3">
        <v>0</v>
      </c>
      <c r="L194" s="3">
        <v>2.15625</v>
      </c>
      <c r="M194" s="3">
        <v>2.15625</v>
      </c>
      <c r="N194" s="3">
        <v>2.15625</v>
      </c>
      <c r="O194" s="3">
        <v>0</v>
      </c>
      <c r="P194" s="3">
        <v>0</v>
      </c>
      <c r="Q194" s="3">
        <v>0</v>
      </c>
      <c r="R194" s="3">
        <v>16</v>
      </c>
    </row>
    <row r="195" spans="2:18" x14ac:dyDescent="0.25">
      <c r="B195" s="3" t="s">
        <v>186</v>
      </c>
      <c r="C195" s="3">
        <v>4</v>
      </c>
      <c r="D195" s="3">
        <v>3</v>
      </c>
      <c r="E195" s="3">
        <v>4</v>
      </c>
      <c r="F195" s="3">
        <v>3</v>
      </c>
      <c r="G195" s="3">
        <v>4</v>
      </c>
      <c r="H195" s="3">
        <v>3.5</v>
      </c>
      <c r="I195" s="3">
        <v>4</v>
      </c>
      <c r="J195" s="3">
        <v>3.25</v>
      </c>
      <c r="K195" s="3">
        <v>0</v>
      </c>
      <c r="L195" s="3">
        <v>4</v>
      </c>
      <c r="M195" s="3">
        <v>4</v>
      </c>
      <c r="N195" s="3">
        <v>4</v>
      </c>
      <c r="O195" s="3">
        <v>0</v>
      </c>
      <c r="P195" s="3">
        <v>1</v>
      </c>
      <c r="Q195" s="3">
        <v>4</v>
      </c>
      <c r="R195" s="3">
        <v>12</v>
      </c>
    </row>
    <row r="196" spans="2:18" x14ac:dyDescent="0.25">
      <c r="B196" s="3" t="s">
        <v>187</v>
      </c>
      <c r="C196" s="3">
        <v>10.328099999999999</v>
      </c>
      <c r="D196" s="3">
        <v>8.25</v>
      </c>
      <c r="E196" s="3">
        <v>7.953125</v>
      </c>
      <c r="F196" s="3">
        <v>9.453125</v>
      </c>
      <c r="G196" s="3">
        <v>10.3125</v>
      </c>
      <c r="H196" s="3">
        <v>10.328125</v>
      </c>
      <c r="I196" s="3">
        <v>10.3125</v>
      </c>
      <c r="J196" s="3">
        <v>10.328125</v>
      </c>
      <c r="K196" s="3">
        <v>0</v>
      </c>
      <c r="L196" s="3">
        <v>10.3125</v>
      </c>
      <c r="M196" s="3">
        <v>10.328125</v>
      </c>
      <c r="N196" s="3">
        <v>10.3125</v>
      </c>
      <c r="O196" s="3">
        <v>0</v>
      </c>
      <c r="P196" s="3">
        <v>4</v>
      </c>
      <c r="Q196" s="3">
        <v>6</v>
      </c>
      <c r="R196" s="3">
        <v>2.1562999999999999</v>
      </c>
    </row>
    <row r="197" spans="2:18" x14ac:dyDescent="0.25">
      <c r="B197" s="3" t="s">
        <v>188</v>
      </c>
      <c r="C197" s="3">
        <v>9</v>
      </c>
      <c r="D197" s="3">
        <v>3.9375</v>
      </c>
      <c r="E197" s="3">
        <v>9</v>
      </c>
      <c r="F197" s="3">
        <v>9</v>
      </c>
      <c r="G197" s="3">
        <v>9</v>
      </c>
      <c r="H197" s="3">
        <v>9</v>
      </c>
      <c r="I197" s="3">
        <v>9</v>
      </c>
      <c r="J197" s="3">
        <v>8.5</v>
      </c>
      <c r="K197" s="3">
        <v>0</v>
      </c>
      <c r="L197" s="3">
        <v>9</v>
      </c>
      <c r="M197" s="3">
        <v>9</v>
      </c>
      <c r="N197" s="3">
        <v>9</v>
      </c>
      <c r="O197" s="3">
        <v>0</v>
      </c>
      <c r="P197" s="3">
        <v>3</v>
      </c>
      <c r="Q197" s="3">
        <v>9</v>
      </c>
      <c r="R197" s="3">
        <v>4</v>
      </c>
    </row>
    <row r="198" spans="2:18" x14ac:dyDescent="0.25">
      <c r="B198" s="3" t="s">
        <v>189</v>
      </c>
      <c r="C198" s="3">
        <v>5.2283999999999997</v>
      </c>
      <c r="D198" s="3">
        <v>4.4135999999999997</v>
      </c>
      <c r="E198" s="3">
        <v>4.7283949999999999</v>
      </c>
      <c r="F198" s="3">
        <v>5.2283949999999999</v>
      </c>
      <c r="G198" s="3">
        <v>5.2283949999999999</v>
      </c>
      <c r="H198" s="3">
        <v>5.2283949999999999</v>
      </c>
      <c r="I198" s="3">
        <v>5.2283949999999999</v>
      </c>
      <c r="J198" s="3">
        <v>5.2283949999999999</v>
      </c>
      <c r="K198" s="3">
        <v>0</v>
      </c>
      <c r="L198" s="3">
        <v>5.2283949999999999</v>
      </c>
      <c r="M198" s="3">
        <v>5.2283949999999999</v>
      </c>
      <c r="N198" s="3">
        <v>5.2283949999999999</v>
      </c>
      <c r="O198" s="3">
        <v>0</v>
      </c>
      <c r="P198" s="3">
        <v>3</v>
      </c>
      <c r="Q198" s="3">
        <v>4</v>
      </c>
      <c r="R198" s="3">
        <v>10.328125</v>
      </c>
    </row>
    <row r="199" spans="2:18" x14ac:dyDescent="0.25">
      <c r="B199" s="3" t="s">
        <v>190</v>
      </c>
      <c r="C199" s="3">
        <v>6.5</v>
      </c>
      <c r="D199" s="3">
        <v>3.5</v>
      </c>
      <c r="E199" s="3">
        <v>6.5</v>
      </c>
      <c r="F199" s="3">
        <v>6</v>
      </c>
      <c r="G199" s="3">
        <v>6</v>
      </c>
      <c r="H199" s="3">
        <v>6.5</v>
      </c>
      <c r="I199" s="3">
        <v>6</v>
      </c>
      <c r="J199" s="3">
        <v>6.5</v>
      </c>
      <c r="K199" s="3">
        <v>0</v>
      </c>
      <c r="L199" s="3">
        <v>6</v>
      </c>
      <c r="M199" s="3">
        <v>6.5</v>
      </c>
      <c r="N199" s="3">
        <v>6.5</v>
      </c>
      <c r="O199" s="3">
        <v>0</v>
      </c>
      <c r="P199" s="3">
        <v>0</v>
      </c>
      <c r="Q199" s="3">
        <v>3.5</v>
      </c>
      <c r="R199" s="3">
        <v>9</v>
      </c>
    </row>
    <row r="200" spans="2:18" x14ac:dyDescent="0.25">
      <c r="B200" s="3" t="s">
        <v>191</v>
      </c>
      <c r="C200" s="3">
        <v>7.8367000000000004</v>
      </c>
      <c r="D200" s="3">
        <v>3.9184000000000001</v>
      </c>
      <c r="E200" s="3">
        <v>5.336735</v>
      </c>
      <c r="F200" s="3">
        <v>7.836735</v>
      </c>
      <c r="G200" s="3">
        <v>7.836735</v>
      </c>
      <c r="H200" s="3">
        <v>7.5</v>
      </c>
      <c r="I200" s="3">
        <v>7.836735</v>
      </c>
      <c r="J200" s="3">
        <v>7.836735</v>
      </c>
      <c r="K200" s="3">
        <v>0</v>
      </c>
      <c r="L200" s="3">
        <v>7.836735</v>
      </c>
      <c r="M200" s="3">
        <v>7.836735</v>
      </c>
      <c r="N200" s="3">
        <v>7.836735</v>
      </c>
      <c r="O200" s="3">
        <v>0</v>
      </c>
      <c r="P200" s="3">
        <v>0</v>
      </c>
      <c r="Q200" s="3">
        <v>2</v>
      </c>
      <c r="R200" s="3">
        <v>5.2283999999999997</v>
      </c>
    </row>
    <row r="201" spans="2:18" x14ac:dyDescent="0.25">
      <c r="B201" s="3" t="s">
        <v>192</v>
      </c>
      <c r="C201" s="3">
        <v>157.45920000000001</v>
      </c>
      <c r="D201" s="3">
        <v>0</v>
      </c>
      <c r="E201" s="3">
        <v>143.189346</v>
      </c>
      <c r="F201" s="3">
        <v>87.434241999999998</v>
      </c>
      <c r="G201" s="3">
        <v>161.69387800000001</v>
      </c>
      <c r="H201" s="3">
        <v>162.44444300000001</v>
      </c>
      <c r="I201" s="3">
        <v>157.689346</v>
      </c>
      <c r="J201" s="3">
        <v>162.689346</v>
      </c>
      <c r="K201" s="3">
        <v>141.48185699999999</v>
      </c>
      <c r="L201" s="3">
        <v>159.19387800000001</v>
      </c>
      <c r="M201" s="3">
        <v>163.689346</v>
      </c>
      <c r="N201" s="3">
        <v>163.189346</v>
      </c>
      <c r="O201" s="3">
        <v>139.76530500000001</v>
      </c>
      <c r="P201" s="3">
        <v>61.519272000000001</v>
      </c>
      <c r="Q201" s="3">
        <v>110.91836499999999</v>
      </c>
      <c r="R201" s="3">
        <v>6.5</v>
      </c>
    </row>
    <row r="202" spans="2:18" x14ac:dyDescent="0.25">
      <c r="B202" s="3" t="s">
        <v>193</v>
      </c>
      <c r="C202" s="3">
        <v>66.231999999999999</v>
      </c>
      <c r="D202" s="3">
        <v>16.9529</v>
      </c>
      <c r="E202" s="3">
        <v>58.255538999999999</v>
      </c>
      <c r="F202" s="3">
        <v>32.02216</v>
      </c>
      <c r="G202" s="3">
        <v>68.551940999999999</v>
      </c>
      <c r="H202" s="3">
        <v>69.877426</v>
      </c>
      <c r="I202" s="3">
        <v>68.023544000000001</v>
      </c>
      <c r="J202" s="3">
        <v>66.551940999999999</v>
      </c>
      <c r="K202" s="3">
        <v>31.058174000000001</v>
      </c>
      <c r="L202" s="3">
        <v>69.523544000000001</v>
      </c>
      <c r="M202" s="3">
        <v>69.613570999999993</v>
      </c>
      <c r="N202" s="3">
        <v>69.523544000000001</v>
      </c>
      <c r="O202" s="3">
        <v>31.058174000000001</v>
      </c>
      <c r="P202" s="3">
        <v>6.5</v>
      </c>
      <c r="Q202" s="3">
        <v>34</v>
      </c>
      <c r="R202" s="3">
        <v>7.836735</v>
      </c>
    </row>
    <row r="203" spans="2:18" x14ac:dyDescent="0.25">
      <c r="B203" s="3" t="s">
        <v>194</v>
      </c>
      <c r="C203" s="3">
        <v>124.74379999999999</v>
      </c>
      <c r="D203" s="3">
        <v>0</v>
      </c>
      <c r="E203" s="3">
        <v>116.83058200000001</v>
      </c>
      <c r="F203" s="3">
        <v>67.596076999999994</v>
      </c>
      <c r="G203" s="3">
        <v>128.33058199999999</v>
      </c>
      <c r="H203" s="3">
        <v>124.63739</v>
      </c>
      <c r="I203" s="3">
        <v>123.141525</v>
      </c>
      <c r="J203" s="3">
        <v>125.13739</v>
      </c>
      <c r="K203" s="3">
        <v>79.5</v>
      </c>
      <c r="L203" s="3">
        <v>128.33058199999999</v>
      </c>
      <c r="M203" s="3">
        <v>129.33058199999999</v>
      </c>
      <c r="N203" s="3">
        <v>129.33058199999999</v>
      </c>
      <c r="O203" s="3">
        <v>82.641525000000001</v>
      </c>
      <c r="P203" s="3">
        <v>79.5</v>
      </c>
      <c r="Q203" s="3">
        <v>99.145660000000007</v>
      </c>
      <c r="R203" s="3">
        <v>163.689346</v>
      </c>
    </row>
    <row r="204" spans="2:18" x14ac:dyDescent="0.25">
      <c r="B204" s="3" t="s">
        <v>330</v>
      </c>
      <c r="C204" s="3">
        <v>0</v>
      </c>
      <c r="D204" s="3">
        <v>0</v>
      </c>
      <c r="E204" s="3">
        <v>138.050095</v>
      </c>
      <c r="F204" s="3">
        <v>118.603027</v>
      </c>
      <c r="G204" s="3">
        <v>143.56994599999999</v>
      </c>
      <c r="H204" s="3">
        <v>145.82513399999999</v>
      </c>
      <c r="I204" s="3">
        <v>145.56994599999999</v>
      </c>
      <c r="J204" s="3">
        <v>152.02079800000001</v>
      </c>
      <c r="K204" s="3">
        <v>131.06994599999999</v>
      </c>
      <c r="L204" s="3">
        <v>150.63516200000001</v>
      </c>
      <c r="M204" s="3">
        <v>141.796783</v>
      </c>
      <c r="N204" s="3">
        <v>146.06994599999999</v>
      </c>
      <c r="O204" s="3">
        <v>131.06994599999999</v>
      </c>
      <c r="P204" s="3">
        <v>105.140839</v>
      </c>
      <c r="Q204" s="3">
        <v>125.191864</v>
      </c>
      <c r="R204" s="3">
        <v>69.877426</v>
      </c>
    </row>
    <row r="205" spans="2:18" x14ac:dyDescent="0.25">
      <c r="B205" s="3" t="s">
        <v>195</v>
      </c>
      <c r="C205" s="3">
        <v>115.4537</v>
      </c>
      <c r="D205" s="3">
        <v>0</v>
      </c>
      <c r="E205" s="3">
        <v>86.823097000000004</v>
      </c>
      <c r="F205" s="3">
        <v>86.403747999999993</v>
      </c>
      <c r="G205" s="3">
        <v>115.86525</v>
      </c>
      <c r="H205" s="3">
        <v>109.86525</v>
      </c>
      <c r="I205" s="3">
        <v>117.323097</v>
      </c>
      <c r="J205" s="3">
        <v>116.36525</v>
      </c>
      <c r="K205" s="3">
        <v>74.455780000000004</v>
      </c>
      <c r="L205" s="3">
        <v>115.86525</v>
      </c>
      <c r="M205" s="3">
        <v>116.025497</v>
      </c>
      <c r="N205" s="3">
        <v>111.86525</v>
      </c>
      <c r="O205" s="3">
        <v>82.649840999999995</v>
      </c>
      <c r="P205" s="3">
        <v>43</v>
      </c>
      <c r="Q205" s="3">
        <v>65.5</v>
      </c>
      <c r="R205" s="3">
        <v>129.33058199999999</v>
      </c>
    </row>
    <row r="206" spans="2:18" x14ac:dyDescent="0.25">
      <c r="B206" s="3" t="s">
        <v>196</v>
      </c>
      <c r="C206" s="3">
        <v>95.8673</v>
      </c>
      <c r="D206" s="3">
        <v>0</v>
      </c>
      <c r="E206" s="3">
        <v>45.463264000000002</v>
      </c>
      <c r="F206" s="3">
        <v>0</v>
      </c>
      <c r="G206" s="3">
        <v>111.840813</v>
      </c>
      <c r="H206" s="3">
        <v>107.42448400000001</v>
      </c>
      <c r="I206" s="3">
        <v>110.92448400000001</v>
      </c>
      <c r="J206" s="3">
        <v>113.42448400000001</v>
      </c>
      <c r="K206" s="3">
        <v>53.867339999999999</v>
      </c>
      <c r="L206" s="3">
        <v>106.24897799999999</v>
      </c>
      <c r="M206" s="3">
        <v>98.220405999999997</v>
      </c>
      <c r="N206" s="3">
        <v>113.42448400000001</v>
      </c>
      <c r="O206" s="3">
        <v>53.867339999999999</v>
      </c>
      <c r="P206" s="3">
        <v>9.8836670000000009</v>
      </c>
      <c r="Q206" s="3">
        <v>53.953063999999998</v>
      </c>
      <c r="R206" s="3">
        <v>152.02079800000001</v>
      </c>
    </row>
    <row r="207" spans="2:18" x14ac:dyDescent="0.25">
      <c r="B207" s="3" t="s">
        <v>197</v>
      </c>
      <c r="C207" s="3">
        <v>0</v>
      </c>
      <c r="D207" s="3">
        <v>0</v>
      </c>
      <c r="E207" s="3">
        <v>59.674934</v>
      </c>
      <c r="F207" s="3">
        <v>0</v>
      </c>
      <c r="G207" s="3">
        <v>92.442145999999994</v>
      </c>
      <c r="H207" s="3">
        <v>88.666663999999997</v>
      </c>
      <c r="I207" s="3">
        <v>92.480712999999994</v>
      </c>
      <c r="J207" s="3">
        <v>93.980712999999994</v>
      </c>
      <c r="K207" s="3">
        <v>67.654266000000007</v>
      </c>
      <c r="L207" s="3">
        <v>92.942145999999994</v>
      </c>
      <c r="M207" s="3">
        <v>93.980712999999994</v>
      </c>
      <c r="N207" s="3">
        <v>91.480712999999994</v>
      </c>
      <c r="O207" s="3">
        <v>67.654266000000007</v>
      </c>
      <c r="P207" s="3">
        <v>38.526169000000003</v>
      </c>
      <c r="Q207" s="3">
        <v>57.433883999999999</v>
      </c>
      <c r="R207" s="3">
        <v>117.323097</v>
      </c>
    </row>
    <row r="208" spans="2:18" x14ac:dyDescent="0.25">
      <c r="B208" s="3" t="s">
        <v>331</v>
      </c>
      <c r="C208" s="3">
        <v>0</v>
      </c>
      <c r="D208" s="3">
        <v>0</v>
      </c>
      <c r="E208" s="3">
        <v>117.81753500000001</v>
      </c>
      <c r="F208" s="3">
        <v>58.699013000000001</v>
      </c>
      <c r="G208" s="3">
        <v>147.81753499999999</v>
      </c>
      <c r="H208" s="3">
        <v>145.29975899999999</v>
      </c>
      <c r="I208" s="3">
        <v>145.91999799999999</v>
      </c>
      <c r="J208" s="3">
        <v>143.39111299999999</v>
      </c>
      <c r="K208" s="3">
        <v>130.86419699999999</v>
      </c>
      <c r="L208" s="3">
        <v>151.94444300000001</v>
      </c>
      <c r="M208" s="3">
        <v>148.49234000000001</v>
      </c>
      <c r="N208" s="3">
        <v>151.94444300000001</v>
      </c>
      <c r="O208" s="3">
        <v>139.02568099999999</v>
      </c>
      <c r="P208" s="3">
        <v>81.554564999999997</v>
      </c>
      <c r="Q208" s="3">
        <v>115.216049</v>
      </c>
      <c r="R208" s="3">
        <v>113.42448400000001</v>
      </c>
    </row>
    <row r="209" spans="2:18" x14ac:dyDescent="0.25">
      <c r="B209" s="3" t="s">
        <v>198</v>
      </c>
      <c r="C209" s="3">
        <v>131.62690000000001</v>
      </c>
      <c r="D209" s="3">
        <v>0</v>
      </c>
      <c r="E209" s="3">
        <v>125.262756</v>
      </c>
      <c r="F209" s="3">
        <v>106.38711499999999</v>
      </c>
      <c r="G209" s="3">
        <v>138.061218</v>
      </c>
      <c r="H209" s="3">
        <v>127.262756</v>
      </c>
      <c r="I209" s="3">
        <v>137.061218</v>
      </c>
      <c r="J209" s="3">
        <v>141.74490399999999</v>
      </c>
      <c r="K209" s="3">
        <v>92.5</v>
      </c>
      <c r="L209" s="3">
        <v>134.262756</v>
      </c>
      <c r="M209" s="3">
        <v>136.46875</v>
      </c>
      <c r="N209" s="3">
        <v>135.46875</v>
      </c>
      <c r="O209" s="3">
        <v>92.5</v>
      </c>
      <c r="P209" s="3">
        <v>96.5</v>
      </c>
      <c r="Q209" s="3">
        <v>112.5</v>
      </c>
      <c r="R209" s="3">
        <v>93.980712999999994</v>
      </c>
    </row>
    <row r="210" spans="2:18" x14ac:dyDescent="0.25">
      <c r="B210" s="3" t="s">
        <v>199</v>
      </c>
      <c r="C210" s="3">
        <v>86.5</v>
      </c>
      <c r="D210" s="3">
        <v>17.777799999999999</v>
      </c>
      <c r="E210" s="3">
        <v>41</v>
      </c>
      <c r="F210" s="3">
        <v>66</v>
      </c>
      <c r="G210" s="3">
        <v>82.5</v>
      </c>
      <c r="H210" s="3">
        <v>81.944443000000007</v>
      </c>
      <c r="I210" s="3">
        <v>82</v>
      </c>
      <c r="J210" s="3">
        <v>83</v>
      </c>
      <c r="K210" s="3">
        <v>61.111114999999998</v>
      </c>
      <c r="L210" s="3">
        <v>82.5</v>
      </c>
      <c r="M210" s="3">
        <v>84.5</v>
      </c>
      <c r="N210" s="3">
        <v>82.5</v>
      </c>
      <c r="O210" s="3">
        <v>61.111114999999998</v>
      </c>
      <c r="P210" s="3">
        <v>39.5</v>
      </c>
      <c r="Q210" s="3">
        <v>68.5</v>
      </c>
      <c r="R210" s="3">
        <v>151.94444300000001</v>
      </c>
    </row>
    <row r="211" spans="2:18" x14ac:dyDescent="0.25">
      <c r="B211" s="3" t="s">
        <v>200</v>
      </c>
      <c r="C211" s="3">
        <v>42</v>
      </c>
      <c r="D211" s="3">
        <v>0</v>
      </c>
      <c r="E211" s="3">
        <v>37.5</v>
      </c>
      <c r="F211" s="3">
        <v>18.8125</v>
      </c>
      <c r="G211" s="3">
        <v>41</v>
      </c>
      <c r="H211" s="3">
        <v>41</v>
      </c>
      <c r="I211" s="3">
        <v>41</v>
      </c>
      <c r="J211" s="3">
        <v>41.5</v>
      </c>
      <c r="K211" s="3">
        <v>0</v>
      </c>
      <c r="L211" s="3">
        <v>41</v>
      </c>
      <c r="M211" s="3">
        <v>42</v>
      </c>
      <c r="N211" s="3">
        <v>41.5</v>
      </c>
      <c r="O211" s="3">
        <v>0</v>
      </c>
      <c r="P211" s="3">
        <v>37</v>
      </c>
      <c r="Q211" s="3">
        <v>40</v>
      </c>
      <c r="R211" s="3">
        <v>141.74490399999999</v>
      </c>
    </row>
    <row r="212" spans="2:18" x14ac:dyDescent="0.25">
      <c r="B212" s="3" t="s">
        <v>201</v>
      </c>
      <c r="C212" s="3">
        <v>38.5</v>
      </c>
      <c r="D212" s="3">
        <v>0</v>
      </c>
      <c r="E212" s="3">
        <v>38.5</v>
      </c>
      <c r="F212" s="3">
        <v>0</v>
      </c>
      <c r="G212" s="3">
        <v>36.5</v>
      </c>
      <c r="H212" s="3">
        <v>36.388888999999999</v>
      </c>
      <c r="I212" s="3">
        <v>37</v>
      </c>
      <c r="J212" s="3">
        <v>38.5</v>
      </c>
      <c r="K212" s="3">
        <v>0</v>
      </c>
      <c r="L212" s="3">
        <v>37</v>
      </c>
      <c r="M212" s="3">
        <v>38.5</v>
      </c>
      <c r="N212" s="3">
        <v>38</v>
      </c>
      <c r="O212" s="3">
        <v>0</v>
      </c>
      <c r="P212" s="3">
        <v>13.5</v>
      </c>
      <c r="Q212" s="3">
        <v>31</v>
      </c>
      <c r="R212" s="3">
        <v>86.5</v>
      </c>
    </row>
    <row r="213" spans="2:18" x14ac:dyDescent="0.25">
      <c r="B213" s="3" t="s">
        <v>202</v>
      </c>
      <c r="C213" s="3">
        <v>42.757800000000003</v>
      </c>
      <c r="D213" s="3">
        <v>0</v>
      </c>
      <c r="E213" s="3">
        <v>36.53125</v>
      </c>
      <c r="F213" s="3">
        <v>0</v>
      </c>
      <c r="G213" s="3">
        <v>39.5</v>
      </c>
      <c r="H213" s="3">
        <v>41.257812999999999</v>
      </c>
      <c r="I213" s="3">
        <v>40</v>
      </c>
      <c r="J213" s="3">
        <v>42.257812999999999</v>
      </c>
      <c r="K213" s="3">
        <v>5.53125</v>
      </c>
      <c r="L213" s="3">
        <v>41.257812999999999</v>
      </c>
      <c r="M213" s="3">
        <v>42.757812999999999</v>
      </c>
      <c r="N213" s="3">
        <v>42.757812999999999</v>
      </c>
      <c r="O213" s="3">
        <v>8.53125</v>
      </c>
      <c r="P213" s="3">
        <v>29</v>
      </c>
      <c r="Q213" s="3">
        <v>30.5</v>
      </c>
      <c r="R213" s="3">
        <v>42</v>
      </c>
    </row>
    <row r="214" spans="2:18" x14ac:dyDescent="0.25">
      <c r="B214" s="3" t="s">
        <v>203</v>
      </c>
      <c r="C214" s="3">
        <v>53.776899999999998</v>
      </c>
      <c r="D214" s="3">
        <v>0</v>
      </c>
      <c r="E214" s="3">
        <v>42.900826000000002</v>
      </c>
      <c r="F214" s="3">
        <v>37.785125999999998</v>
      </c>
      <c r="G214" s="3">
        <v>49.380164999999998</v>
      </c>
      <c r="H214" s="3">
        <v>45.776859000000002</v>
      </c>
      <c r="I214" s="3">
        <v>51.776859000000002</v>
      </c>
      <c r="J214" s="3">
        <v>53.276859000000002</v>
      </c>
      <c r="K214" s="3">
        <v>0</v>
      </c>
      <c r="L214" s="3">
        <v>49.380164999999998</v>
      </c>
      <c r="M214" s="3">
        <v>50.276859000000002</v>
      </c>
      <c r="N214" s="3">
        <v>53.776859000000002</v>
      </c>
      <c r="O214" s="3">
        <v>0</v>
      </c>
      <c r="P214" s="3">
        <v>34</v>
      </c>
      <c r="Q214" s="3">
        <v>22</v>
      </c>
      <c r="R214" s="3">
        <v>38.5</v>
      </c>
    </row>
    <row r="215" spans="2:18" x14ac:dyDescent="0.25">
      <c r="B215" s="3" t="s">
        <v>204</v>
      </c>
      <c r="C215" s="3">
        <v>58.983499999999999</v>
      </c>
      <c r="D215" s="3">
        <v>7.3864999999999998</v>
      </c>
      <c r="E215" s="3">
        <v>48.433883999999999</v>
      </c>
      <c r="F215" s="3">
        <v>54.235537999999998</v>
      </c>
      <c r="G215" s="3">
        <v>58</v>
      </c>
      <c r="H215" s="3">
        <v>57.483471000000002</v>
      </c>
      <c r="I215" s="3">
        <v>58</v>
      </c>
      <c r="J215" s="3">
        <v>58.983471000000002</v>
      </c>
      <c r="K215" s="3">
        <v>0</v>
      </c>
      <c r="L215" s="3">
        <v>58</v>
      </c>
      <c r="M215" s="3">
        <v>58.983471000000002</v>
      </c>
      <c r="N215" s="3">
        <v>58.983471000000002</v>
      </c>
      <c r="O215" s="3">
        <v>0</v>
      </c>
      <c r="P215" s="3">
        <v>44.5</v>
      </c>
      <c r="Q215" s="3">
        <v>24</v>
      </c>
      <c r="R215" s="3">
        <v>42.757812999999999</v>
      </c>
    </row>
    <row r="216" spans="2:18" x14ac:dyDescent="0.25">
      <c r="B216" s="3" t="s">
        <v>205</v>
      </c>
      <c r="C216" s="3">
        <v>41.541499999999999</v>
      </c>
      <c r="D216" s="3">
        <v>6.1619999999999999</v>
      </c>
      <c r="E216" s="3">
        <v>39.273356999999997</v>
      </c>
      <c r="F216" s="3">
        <v>35.314880000000002</v>
      </c>
      <c r="G216" s="3">
        <v>40.010379999999998</v>
      </c>
      <c r="H216" s="3">
        <v>41.328719999999997</v>
      </c>
      <c r="I216" s="3">
        <v>38.773356999999997</v>
      </c>
      <c r="J216" s="3">
        <v>41.328719999999997</v>
      </c>
      <c r="K216" s="3">
        <v>0</v>
      </c>
      <c r="L216" s="3">
        <v>40.010379999999998</v>
      </c>
      <c r="M216" s="3">
        <v>41.541522999999998</v>
      </c>
      <c r="N216" s="3">
        <v>41.541522999999998</v>
      </c>
      <c r="O216" s="3">
        <v>0</v>
      </c>
      <c r="P216" s="3">
        <v>11.5</v>
      </c>
      <c r="Q216" s="3">
        <v>17.5</v>
      </c>
      <c r="R216" s="3">
        <v>53.776899999999998</v>
      </c>
    </row>
    <row r="217" spans="2:18" x14ac:dyDescent="0.25">
      <c r="B217" s="3" t="s">
        <v>206</v>
      </c>
      <c r="C217" s="3">
        <v>19</v>
      </c>
      <c r="D217" s="3">
        <v>14.904199999999999</v>
      </c>
      <c r="E217" s="3">
        <v>18.127549999999999</v>
      </c>
      <c r="F217" s="3">
        <v>15.510204</v>
      </c>
      <c r="G217" s="3">
        <v>19</v>
      </c>
      <c r="H217" s="3">
        <v>19</v>
      </c>
      <c r="I217" s="3">
        <v>19</v>
      </c>
      <c r="J217" s="3">
        <v>18.281887000000001</v>
      </c>
      <c r="K217" s="3">
        <v>0</v>
      </c>
      <c r="L217" s="3">
        <v>19</v>
      </c>
      <c r="M217" s="3">
        <v>19</v>
      </c>
      <c r="N217" s="3">
        <v>19</v>
      </c>
      <c r="O217" s="3">
        <v>0</v>
      </c>
      <c r="P217" s="3">
        <v>10</v>
      </c>
      <c r="Q217" s="3">
        <v>19</v>
      </c>
      <c r="R217" s="3">
        <v>58.983499999999999</v>
      </c>
    </row>
    <row r="218" spans="2:18" x14ac:dyDescent="0.25">
      <c r="B218" s="3" t="s">
        <v>207</v>
      </c>
      <c r="C218" s="3">
        <v>61.693899999999999</v>
      </c>
      <c r="D218" s="3">
        <v>31.346900000000002</v>
      </c>
      <c r="E218" s="3">
        <v>45.193877999999998</v>
      </c>
      <c r="F218" s="3">
        <v>31.346938999999999</v>
      </c>
      <c r="G218" s="3">
        <v>60.693877999999998</v>
      </c>
      <c r="H218" s="3">
        <v>60</v>
      </c>
      <c r="I218" s="3">
        <v>60.693877999999998</v>
      </c>
      <c r="J218" s="3">
        <v>60.193877999999998</v>
      </c>
      <c r="K218" s="3">
        <v>0</v>
      </c>
      <c r="L218" s="3">
        <v>60.693877999999998</v>
      </c>
      <c r="M218" s="3">
        <v>61.193877999999998</v>
      </c>
      <c r="N218" s="3">
        <v>61.693877999999998</v>
      </c>
      <c r="O218" s="3">
        <v>0</v>
      </c>
      <c r="P218" s="3">
        <v>46</v>
      </c>
      <c r="Q218" s="3">
        <v>50</v>
      </c>
      <c r="R218" s="3">
        <v>41.541522999999998</v>
      </c>
    </row>
    <row r="219" spans="2:18" x14ac:dyDescent="0.25">
      <c r="B219" s="3" t="s">
        <v>208</v>
      </c>
      <c r="C219" s="3">
        <v>21.506900000000002</v>
      </c>
      <c r="D219" s="3">
        <v>2.5623</v>
      </c>
      <c r="E219" s="3">
        <v>18.606646999999999</v>
      </c>
      <c r="F219" s="3">
        <v>16.620498999999999</v>
      </c>
      <c r="G219" s="3">
        <v>21.506926</v>
      </c>
      <c r="H219" s="3">
        <v>19.606646999999999</v>
      </c>
      <c r="I219" s="3">
        <v>21.006926</v>
      </c>
      <c r="J219" s="3">
        <v>21.506926</v>
      </c>
      <c r="K219" s="3">
        <v>8.4307479999999995</v>
      </c>
      <c r="L219" s="3">
        <v>21.506926</v>
      </c>
      <c r="M219" s="3">
        <v>21.506926</v>
      </c>
      <c r="N219" s="3">
        <v>21.506926</v>
      </c>
      <c r="O219" s="3">
        <v>8.4307479999999995</v>
      </c>
      <c r="P219" s="3">
        <v>3.5</v>
      </c>
      <c r="Q219" s="3">
        <v>3</v>
      </c>
      <c r="R219" s="3">
        <v>19</v>
      </c>
    </row>
    <row r="220" spans="2:18" x14ac:dyDescent="0.25">
      <c r="B220" s="3" t="s">
        <v>209</v>
      </c>
      <c r="C220" s="3">
        <v>38.975299999999997</v>
      </c>
      <c r="D220" s="3">
        <v>0</v>
      </c>
      <c r="E220" s="3">
        <v>35.475307000000001</v>
      </c>
      <c r="F220" s="3">
        <v>0</v>
      </c>
      <c r="G220" s="3">
        <v>38.475307000000001</v>
      </c>
      <c r="H220" s="3">
        <v>35.975307000000001</v>
      </c>
      <c r="I220" s="3">
        <v>38.475307000000001</v>
      </c>
      <c r="J220" s="3">
        <v>37.975307000000001</v>
      </c>
      <c r="K220" s="3">
        <v>0</v>
      </c>
      <c r="L220" s="3">
        <v>38.475307000000001</v>
      </c>
      <c r="M220" s="3">
        <v>37.975307000000001</v>
      </c>
      <c r="N220" s="3">
        <v>38.475307000000001</v>
      </c>
      <c r="O220" s="3">
        <v>0</v>
      </c>
      <c r="P220" s="3">
        <v>18.5</v>
      </c>
      <c r="Q220" s="3">
        <v>27</v>
      </c>
      <c r="R220" s="3">
        <v>61.693899999999999</v>
      </c>
    </row>
    <row r="221" spans="2:18" x14ac:dyDescent="0.25">
      <c r="B221" s="3" t="s">
        <v>210</v>
      </c>
      <c r="C221" s="3">
        <v>25.5</v>
      </c>
      <c r="D221" s="3">
        <v>19.125</v>
      </c>
      <c r="E221" s="3">
        <v>25.5</v>
      </c>
      <c r="F221" s="3">
        <v>25.5</v>
      </c>
      <c r="G221" s="3">
        <v>25.5</v>
      </c>
      <c r="H221" s="3">
        <v>25.5</v>
      </c>
      <c r="I221" s="3">
        <v>25.5</v>
      </c>
      <c r="J221" s="3">
        <v>25.5</v>
      </c>
      <c r="K221" s="3">
        <v>0</v>
      </c>
      <c r="L221" s="3">
        <v>25.5</v>
      </c>
      <c r="M221" s="3">
        <v>25.5</v>
      </c>
      <c r="N221" s="3">
        <v>25.5</v>
      </c>
      <c r="O221" s="3">
        <v>0</v>
      </c>
      <c r="P221" s="3">
        <v>24.5</v>
      </c>
      <c r="Q221" s="3">
        <v>25.5</v>
      </c>
      <c r="R221" s="3">
        <v>21.506926</v>
      </c>
    </row>
    <row r="222" spans="2:18" x14ac:dyDescent="0.25">
      <c r="B222" s="3" t="s">
        <v>211</v>
      </c>
      <c r="C222" s="3">
        <v>21.5</v>
      </c>
      <c r="D222" s="3">
        <v>0</v>
      </c>
      <c r="E222" s="3">
        <v>21</v>
      </c>
      <c r="F222" s="3">
        <v>0</v>
      </c>
      <c r="G222" s="3">
        <v>21.5</v>
      </c>
      <c r="H222" s="3">
        <v>21</v>
      </c>
      <c r="I222" s="3">
        <v>21.5</v>
      </c>
      <c r="J222" s="3">
        <v>21</v>
      </c>
      <c r="K222" s="3">
        <v>0</v>
      </c>
      <c r="L222" s="3">
        <v>21.5</v>
      </c>
      <c r="M222" s="3">
        <v>21.5</v>
      </c>
      <c r="N222" s="3">
        <v>21.5</v>
      </c>
      <c r="O222" s="3">
        <v>0</v>
      </c>
      <c r="P222" s="3">
        <v>11.5</v>
      </c>
      <c r="Q222" s="3">
        <v>21</v>
      </c>
      <c r="R222" s="3">
        <v>38.975299999999997</v>
      </c>
    </row>
    <row r="223" spans="2:18" x14ac:dyDescent="0.25">
      <c r="B223" s="3" t="s">
        <v>212</v>
      </c>
      <c r="C223" s="3">
        <v>8.8163</v>
      </c>
      <c r="D223" s="3">
        <v>2.3877999999999999</v>
      </c>
      <c r="E223" s="3">
        <v>4.0612240000000002</v>
      </c>
      <c r="F223" s="3">
        <v>8.8163260000000001</v>
      </c>
      <c r="G223" s="3">
        <v>8.8163260000000001</v>
      </c>
      <c r="H223" s="3">
        <v>8.8163260000000001</v>
      </c>
      <c r="I223" s="3">
        <v>8.8163260000000001</v>
      </c>
      <c r="J223" s="3">
        <v>8.8163260000000001</v>
      </c>
      <c r="K223" s="3">
        <v>0</v>
      </c>
      <c r="L223" s="3">
        <v>8.8163260000000001</v>
      </c>
      <c r="M223" s="3">
        <v>8.8163260000000001</v>
      </c>
      <c r="N223" s="3">
        <v>8.8163260000000001</v>
      </c>
      <c r="O223" s="3">
        <v>0</v>
      </c>
      <c r="P223" s="3">
        <v>5.5</v>
      </c>
      <c r="Q223" s="3">
        <v>7</v>
      </c>
      <c r="R223" s="3">
        <v>25.5</v>
      </c>
    </row>
    <row r="224" spans="2:18" x14ac:dyDescent="0.25">
      <c r="B224" s="3" t="s">
        <v>213</v>
      </c>
      <c r="C224" s="3">
        <v>29.5</v>
      </c>
      <c r="D224" s="3">
        <v>0</v>
      </c>
      <c r="E224" s="3">
        <v>28</v>
      </c>
      <c r="F224" s="3">
        <v>0</v>
      </c>
      <c r="G224" s="3">
        <v>29.5</v>
      </c>
      <c r="H224" s="3">
        <v>28.5</v>
      </c>
      <c r="I224" s="3">
        <v>29.5</v>
      </c>
      <c r="J224" s="3">
        <v>29.5</v>
      </c>
      <c r="K224" s="3">
        <v>0</v>
      </c>
      <c r="L224" s="3">
        <v>29.5</v>
      </c>
      <c r="M224" s="3">
        <v>29.5</v>
      </c>
      <c r="N224" s="3">
        <v>29.5</v>
      </c>
      <c r="O224" s="3">
        <v>0</v>
      </c>
      <c r="P224" s="3">
        <v>20</v>
      </c>
      <c r="Q224" s="3">
        <v>29.5</v>
      </c>
      <c r="R224" s="3">
        <v>21.5</v>
      </c>
    </row>
    <row r="225" spans="2:18" x14ac:dyDescent="0.25">
      <c r="B225" s="3" t="s">
        <v>214</v>
      </c>
      <c r="C225" s="3">
        <v>9.5</v>
      </c>
      <c r="D225" s="3">
        <v>0</v>
      </c>
      <c r="E225" s="3">
        <v>6</v>
      </c>
      <c r="F225" s="3">
        <v>7.125</v>
      </c>
      <c r="G225" s="3">
        <v>9.5</v>
      </c>
      <c r="H225" s="3">
        <v>9.5</v>
      </c>
      <c r="I225" s="3">
        <v>9.5</v>
      </c>
      <c r="J225" s="3">
        <v>9</v>
      </c>
      <c r="K225" s="3">
        <v>0</v>
      </c>
      <c r="L225" s="3">
        <v>9.5</v>
      </c>
      <c r="M225" s="3">
        <v>9.5</v>
      </c>
      <c r="N225" s="3">
        <v>9.5</v>
      </c>
      <c r="O225" s="3">
        <v>0</v>
      </c>
      <c r="P225" s="3">
        <v>5</v>
      </c>
      <c r="Q225" s="3">
        <v>9.5</v>
      </c>
      <c r="R225" s="3">
        <v>8.8163260000000001</v>
      </c>
    </row>
    <row r="226" spans="2:18" x14ac:dyDescent="0.25">
      <c r="B226" s="3" t="s">
        <v>215</v>
      </c>
      <c r="C226" s="3">
        <v>36.128100000000003</v>
      </c>
      <c r="D226" s="3">
        <v>7.2024999999999997</v>
      </c>
      <c r="E226" s="3">
        <v>36.128098000000001</v>
      </c>
      <c r="F226" s="3">
        <v>0</v>
      </c>
      <c r="G226" s="3">
        <v>35.628098000000001</v>
      </c>
      <c r="H226" s="3">
        <v>33.628098000000001</v>
      </c>
      <c r="I226" s="3">
        <v>35.628098000000001</v>
      </c>
      <c r="J226" s="3">
        <v>35.628098000000001</v>
      </c>
      <c r="K226" s="3">
        <v>0</v>
      </c>
      <c r="L226" s="3">
        <v>35.628098000000001</v>
      </c>
      <c r="M226" s="3">
        <v>36.128098000000001</v>
      </c>
      <c r="N226" s="3">
        <v>36.128098000000001</v>
      </c>
      <c r="O226" s="3">
        <v>0</v>
      </c>
      <c r="P226" s="3">
        <v>26.5</v>
      </c>
      <c r="Q226" s="3">
        <v>29.5</v>
      </c>
      <c r="R226" s="3">
        <v>29.5</v>
      </c>
    </row>
    <row r="227" spans="2:18" x14ac:dyDescent="0.25">
      <c r="B227" s="3" t="s">
        <v>216</v>
      </c>
      <c r="C227" s="3">
        <v>13.1633</v>
      </c>
      <c r="D227" s="3">
        <v>0</v>
      </c>
      <c r="E227" s="3">
        <v>13.163265000000001</v>
      </c>
      <c r="F227" s="3">
        <v>0</v>
      </c>
      <c r="G227" s="3">
        <v>13</v>
      </c>
      <c r="H227" s="3">
        <v>13.163265000000001</v>
      </c>
      <c r="I227" s="3">
        <v>12</v>
      </c>
      <c r="J227" s="3">
        <v>13.163265000000001</v>
      </c>
      <c r="K227" s="3">
        <v>0</v>
      </c>
      <c r="L227" s="3">
        <v>13</v>
      </c>
      <c r="M227" s="3">
        <v>13.163265000000001</v>
      </c>
      <c r="N227" s="3">
        <v>13</v>
      </c>
      <c r="O227" s="3">
        <v>0</v>
      </c>
      <c r="P227" s="3">
        <v>8</v>
      </c>
      <c r="Q227" s="3">
        <v>2.5</v>
      </c>
      <c r="R227" s="3">
        <v>9.5</v>
      </c>
    </row>
    <row r="228" spans="2:18" x14ac:dyDescent="0.25">
      <c r="B228" s="3" t="s">
        <v>217</v>
      </c>
      <c r="C228" s="3">
        <v>23.050999999999998</v>
      </c>
      <c r="D228" s="3">
        <v>0</v>
      </c>
      <c r="E228" s="3">
        <v>12.051019999999999</v>
      </c>
      <c r="F228" s="3">
        <v>0</v>
      </c>
      <c r="G228" s="3">
        <v>21.051020000000001</v>
      </c>
      <c r="H228" s="3">
        <v>21.551020000000001</v>
      </c>
      <c r="I228" s="3">
        <v>21.051020000000001</v>
      </c>
      <c r="J228" s="3">
        <v>23.051020000000001</v>
      </c>
      <c r="K228" s="3">
        <v>0</v>
      </c>
      <c r="L228" s="3">
        <v>21.051020000000001</v>
      </c>
      <c r="M228" s="3">
        <v>23.051020000000001</v>
      </c>
      <c r="N228" s="3">
        <v>22.887754000000001</v>
      </c>
      <c r="O228" s="3">
        <v>0</v>
      </c>
      <c r="P228" s="3">
        <v>5</v>
      </c>
      <c r="Q228" s="3">
        <v>12</v>
      </c>
      <c r="R228" s="3">
        <v>36.128100000000003</v>
      </c>
    </row>
    <row r="229" spans="2:18" x14ac:dyDescent="0.25">
      <c r="B229" s="3" t="s">
        <v>218</v>
      </c>
      <c r="C229" s="3">
        <v>18</v>
      </c>
      <c r="D229" s="3">
        <v>15.4688</v>
      </c>
      <c r="E229" s="3">
        <v>13.5</v>
      </c>
      <c r="F229" s="3">
        <v>18</v>
      </c>
      <c r="G229" s="3">
        <v>18</v>
      </c>
      <c r="H229" s="3">
        <v>17</v>
      </c>
      <c r="I229" s="3">
        <v>18</v>
      </c>
      <c r="J229" s="3">
        <v>18</v>
      </c>
      <c r="K229" s="3">
        <v>0</v>
      </c>
      <c r="L229" s="3">
        <v>18</v>
      </c>
      <c r="M229" s="3">
        <v>18</v>
      </c>
      <c r="N229" s="3">
        <v>18</v>
      </c>
      <c r="O229" s="3">
        <v>0</v>
      </c>
      <c r="P229" s="3">
        <v>18</v>
      </c>
      <c r="Q229" s="3">
        <v>18</v>
      </c>
      <c r="R229" s="3">
        <v>13.1633</v>
      </c>
    </row>
    <row r="230" spans="2:18" x14ac:dyDescent="0.25">
      <c r="B230" s="3" t="s">
        <v>219</v>
      </c>
      <c r="C230" s="3">
        <v>12.724500000000001</v>
      </c>
      <c r="D230" s="3">
        <v>0</v>
      </c>
      <c r="E230" s="3">
        <v>11.020409000000001</v>
      </c>
      <c r="F230" s="3">
        <v>11.020409000000001</v>
      </c>
      <c r="G230" s="3">
        <v>12.5</v>
      </c>
      <c r="H230" s="3">
        <v>12.5</v>
      </c>
      <c r="I230" s="3">
        <v>12.5</v>
      </c>
      <c r="J230" s="3">
        <v>12.724489999999999</v>
      </c>
      <c r="K230" s="3">
        <v>0</v>
      </c>
      <c r="L230" s="3">
        <v>12.5</v>
      </c>
      <c r="M230" s="3">
        <v>12.724489999999999</v>
      </c>
      <c r="N230" s="3">
        <v>12.724489999999999</v>
      </c>
      <c r="O230" s="3">
        <v>0</v>
      </c>
      <c r="P230" s="3">
        <v>12</v>
      </c>
      <c r="Q230" s="3">
        <v>12</v>
      </c>
      <c r="R230" s="3">
        <v>23.051020000000001</v>
      </c>
    </row>
    <row r="231" spans="2:18" x14ac:dyDescent="0.25">
      <c r="B231" s="3" t="s">
        <v>220</v>
      </c>
      <c r="C231" s="3">
        <v>12</v>
      </c>
      <c r="D231" s="3">
        <v>0</v>
      </c>
      <c r="E231" s="3">
        <v>10</v>
      </c>
      <c r="F231" s="3">
        <v>0</v>
      </c>
      <c r="G231" s="3">
        <v>12</v>
      </c>
      <c r="H231" s="3">
        <v>12</v>
      </c>
      <c r="I231" s="3">
        <v>12</v>
      </c>
      <c r="J231" s="3">
        <v>12</v>
      </c>
      <c r="K231" s="3">
        <v>0</v>
      </c>
      <c r="L231" s="3">
        <v>12</v>
      </c>
      <c r="M231" s="3">
        <v>12</v>
      </c>
      <c r="N231" s="3">
        <v>12</v>
      </c>
      <c r="O231" s="3">
        <v>0</v>
      </c>
      <c r="P231" s="3">
        <v>10</v>
      </c>
      <c r="Q231" s="3">
        <v>11.5</v>
      </c>
      <c r="R231" s="3">
        <v>18</v>
      </c>
    </row>
    <row r="232" spans="2:18" x14ac:dyDescent="0.25">
      <c r="B232" s="3" t="s">
        <v>221</v>
      </c>
      <c r="C232" s="3">
        <v>18.061199999999999</v>
      </c>
      <c r="D232" s="3">
        <v>0</v>
      </c>
      <c r="E232" s="3">
        <v>17.061223999999999</v>
      </c>
      <c r="F232" s="3">
        <v>0</v>
      </c>
      <c r="G232" s="3">
        <v>17.244897999999999</v>
      </c>
      <c r="H232" s="3">
        <v>18.061223999999999</v>
      </c>
      <c r="I232" s="3">
        <v>15.551019999999999</v>
      </c>
      <c r="J232" s="3">
        <v>17.561223999999999</v>
      </c>
      <c r="K232" s="3">
        <v>0</v>
      </c>
      <c r="L232" s="3">
        <v>17.244897999999999</v>
      </c>
      <c r="M232" s="3">
        <v>18.061223999999999</v>
      </c>
      <c r="N232" s="3">
        <v>18.061223999999999</v>
      </c>
      <c r="O232" s="3">
        <v>0</v>
      </c>
      <c r="P232" s="3">
        <v>10</v>
      </c>
      <c r="Q232" s="3">
        <v>6</v>
      </c>
      <c r="R232" s="3">
        <v>12.724500000000001</v>
      </c>
    </row>
    <row r="233" spans="2:18" x14ac:dyDescent="0.25">
      <c r="B233" s="3" t="s">
        <v>222</v>
      </c>
      <c r="C233" s="3">
        <v>5</v>
      </c>
      <c r="D233" s="3">
        <v>0</v>
      </c>
      <c r="E233" s="3">
        <v>5</v>
      </c>
      <c r="F233" s="3">
        <v>0</v>
      </c>
      <c r="G233" s="3">
        <v>5</v>
      </c>
      <c r="H233" s="3">
        <v>5</v>
      </c>
      <c r="I233" s="3">
        <v>5</v>
      </c>
      <c r="J233" s="3">
        <v>5</v>
      </c>
      <c r="K233" s="3">
        <v>0</v>
      </c>
      <c r="L233" s="3">
        <v>5</v>
      </c>
      <c r="M233" s="3">
        <v>5</v>
      </c>
      <c r="N233" s="3">
        <v>5</v>
      </c>
      <c r="O233" s="3">
        <v>0</v>
      </c>
      <c r="P233" s="3">
        <v>5</v>
      </c>
      <c r="Q233" s="3">
        <v>2.5</v>
      </c>
      <c r="R233" s="3">
        <v>12</v>
      </c>
    </row>
    <row r="234" spans="2:18" x14ac:dyDescent="0.25">
      <c r="B234" s="3" t="s">
        <v>223</v>
      </c>
      <c r="C234" s="3">
        <v>8.9600000000000009</v>
      </c>
      <c r="D234" s="3">
        <v>0</v>
      </c>
      <c r="E234" s="3">
        <v>8.9600000000000009</v>
      </c>
      <c r="F234" s="3">
        <v>0</v>
      </c>
      <c r="G234" s="3">
        <v>7</v>
      </c>
      <c r="H234" s="3">
        <v>8.4600000000000009</v>
      </c>
      <c r="I234" s="3">
        <v>7</v>
      </c>
      <c r="J234" s="3">
        <v>8.4600000000000009</v>
      </c>
      <c r="K234" s="3">
        <v>0</v>
      </c>
      <c r="L234" s="3">
        <v>7.96</v>
      </c>
      <c r="M234" s="3">
        <v>8.9600000000000009</v>
      </c>
      <c r="N234" s="3">
        <v>8.9600000000000009</v>
      </c>
      <c r="O234" s="3">
        <v>0</v>
      </c>
      <c r="P234" s="3">
        <v>1</v>
      </c>
      <c r="Q234" s="3">
        <v>5</v>
      </c>
      <c r="R234" s="3">
        <v>18.061223999999999</v>
      </c>
    </row>
    <row r="235" spans="2:18" x14ac:dyDescent="0.25">
      <c r="B235" s="3" t="s">
        <v>332</v>
      </c>
      <c r="C235" s="3">
        <v>0</v>
      </c>
      <c r="D235" s="3">
        <v>0</v>
      </c>
      <c r="E235" s="3">
        <v>165.80555699999999</v>
      </c>
      <c r="F235" s="3">
        <v>102.089508</v>
      </c>
      <c r="G235" s="3">
        <v>207.5</v>
      </c>
      <c r="H235" s="3">
        <v>198</v>
      </c>
      <c r="I235" s="3">
        <v>212.19136</v>
      </c>
      <c r="J235" s="3">
        <v>209.88888499999999</v>
      </c>
      <c r="K235" s="3">
        <v>176</v>
      </c>
      <c r="L235" s="3">
        <v>208.19136</v>
      </c>
      <c r="M235" s="3">
        <v>209.30555699999999</v>
      </c>
      <c r="N235" s="3">
        <v>207.38580300000001</v>
      </c>
      <c r="O235" s="3">
        <v>164.00618</v>
      </c>
      <c r="P235" s="3">
        <v>134.37655599999999</v>
      </c>
      <c r="Q235" s="3">
        <v>174.42285200000001</v>
      </c>
      <c r="R235" s="3">
        <v>5</v>
      </c>
    </row>
    <row r="236" spans="2:18" x14ac:dyDescent="0.25">
      <c r="B236" s="3" t="s">
        <v>333</v>
      </c>
      <c r="C236" s="3">
        <v>0</v>
      </c>
      <c r="D236" s="3">
        <v>33.183399999999999</v>
      </c>
      <c r="E236" s="3">
        <v>230.50692699999999</v>
      </c>
      <c r="F236" s="3">
        <v>179.66262800000001</v>
      </c>
      <c r="G236" s="3">
        <v>273.192047</v>
      </c>
      <c r="H236" s="3">
        <v>264.49307299999998</v>
      </c>
      <c r="I236" s="3">
        <v>269.14880399999998</v>
      </c>
      <c r="J236" s="3">
        <v>271.50344799999999</v>
      </c>
      <c r="K236" s="3">
        <v>233.192047</v>
      </c>
      <c r="L236" s="3">
        <v>264.64532500000001</v>
      </c>
      <c r="M236" s="3">
        <v>265.14880399999998</v>
      </c>
      <c r="N236" s="3">
        <v>264.64880399999998</v>
      </c>
      <c r="O236" s="3">
        <v>234.26123000000001</v>
      </c>
      <c r="P236" s="3">
        <v>164.80969200000001</v>
      </c>
      <c r="Q236" s="3">
        <v>238.99825999999999</v>
      </c>
      <c r="R236" s="3">
        <v>8.9600000000000009</v>
      </c>
    </row>
    <row r="237" spans="2:18" x14ac:dyDescent="0.25">
      <c r="B237" s="3" t="s">
        <v>334</v>
      </c>
      <c r="C237" s="3">
        <v>0</v>
      </c>
      <c r="D237" s="3">
        <v>0</v>
      </c>
      <c r="E237" s="3">
        <v>210.934448</v>
      </c>
      <c r="F237" s="3">
        <v>109.859863</v>
      </c>
      <c r="G237" s="3">
        <v>250.222229</v>
      </c>
      <c r="H237" s="3">
        <v>251.58651699999999</v>
      </c>
      <c r="I237" s="3">
        <v>249.222229</v>
      </c>
      <c r="J237" s="3">
        <v>248.589966</v>
      </c>
      <c r="K237" s="3">
        <v>233.92733799999999</v>
      </c>
      <c r="L237" s="3">
        <v>241.18588299999999</v>
      </c>
      <c r="M237" s="3">
        <v>250.18588299999999</v>
      </c>
      <c r="N237" s="3">
        <v>250.58651699999999</v>
      </c>
      <c r="O237" s="3">
        <v>226.09304800000001</v>
      </c>
      <c r="P237" s="3">
        <v>177.02325400000001</v>
      </c>
      <c r="Q237" s="3">
        <v>229.09304800000001</v>
      </c>
      <c r="R237" s="3">
        <v>212.19136</v>
      </c>
    </row>
    <row r="238" spans="2:18" x14ac:dyDescent="0.25">
      <c r="B238" s="3" t="s">
        <v>224</v>
      </c>
      <c r="C238" s="3">
        <v>9.7579999999999991</v>
      </c>
      <c r="D238" s="3">
        <v>16.710699999999999</v>
      </c>
      <c r="E238" s="3">
        <v>97.439514000000003</v>
      </c>
      <c r="F238" s="3">
        <v>62.563327999999998</v>
      </c>
      <c r="G238" s="3">
        <v>153.66635099999999</v>
      </c>
      <c r="H238" s="3">
        <v>151.752365</v>
      </c>
      <c r="I238" s="3">
        <v>150.09404000000001</v>
      </c>
      <c r="J238" s="3">
        <v>153.66635099999999</v>
      </c>
      <c r="K238" s="3">
        <v>113.266068</v>
      </c>
      <c r="L238" s="3">
        <v>151.05246</v>
      </c>
      <c r="M238" s="3">
        <v>152.16635099999999</v>
      </c>
      <c r="N238" s="3">
        <v>153.16635099999999</v>
      </c>
      <c r="O238" s="3">
        <v>117.252365</v>
      </c>
      <c r="P238" s="3">
        <v>67.510390999999998</v>
      </c>
      <c r="Q238" s="3">
        <v>94.172500999999997</v>
      </c>
      <c r="R238" s="3">
        <v>273.192047</v>
      </c>
    </row>
    <row r="239" spans="2:18" x14ac:dyDescent="0.25">
      <c r="B239" s="3" t="s">
        <v>335</v>
      </c>
      <c r="C239" s="3">
        <v>0</v>
      </c>
      <c r="D239" s="3">
        <v>8.5614000000000008</v>
      </c>
      <c r="E239" s="3">
        <v>200.02806100000001</v>
      </c>
      <c r="F239" s="3">
        <v>125.97472399999999</v>
      </c>
      <c r="G239" s="3">
        <v>211.19000199999999</v>
      </c>
      <c r="H239" s="3">
        <v>205.27250699999999</v>
      </c>
      <c r="I239" s="3">
        <v>211.722229</v>
      </c>
      <c r="J239" s="3">
        <v>211.52806100000001</v>
      </c>
      <c r="K239" s="3">
        <v>183.39889500000001</v>
      </c>
      <c r="L239" s="3">
        <v>212.222229</v>
      </c>
      <c r="M239" s="3">
        <v>210.708054</v>
      </c>
      <c r="N239" s="3">
        <v>209.222229</v>
      </c>
      <c r="O239" s="3">
        <v>183.722229</v>
      </c>
      <c r="P239" s="3">
        <v>106.712219</v>
      </c>
      <c r="Q239" s="3">
        <v>169.474716</v>
      </c>
      <c r="R239" s="3">
        <v>251.58651699999999</v>
      </c>
    </row>
    <row r="240" spans="2:18" x14ac:dyDescent="0.25">
      <c r="B240" s="3" t="s">
        <v>336</v>
      </c>
      <c r="C240" s="3">
        <v>0</v>
      </c>
      <c r="D240" s="3">
        <v>0</v>
      </c>
      <c r="E240" s="3">
        <v>286.51019300000002</v>
      </c>
      <c r="F240" s="3">
        <v>225.30612199999999</v>
      </c>
      <c r="G240" s="3">
        <v>345.3125</v>
      </c>
      <c r="H240" s="3">
        <v>339.54718000000003</v>
      </c>
      <c r="I240" s="3">
        <v>348.99618500000003</v>
      </c>
      <c r="J240" s="3">
        <v>348.00509599999998</v>
      </c>
      <c r="K240" s="3">
        <v>303.751282</v>
      </c>
      <c r="L240" s="3">
        <v>347.32653800000003</v>
      </c>
      <c r="M240" s="3">
        <v>354.54718000000003</v>
      </c>
      <c r="N240" s="3">
        <v>351.54718000000003</v>
      </c>
      <c r="O240" s="3">
        <v>301.75</v>
      </c>
      <c r="P240" s="3">
        <v>226.3125</v>
      </c>
      <c r="Q240" s="3">
        <v>323.04718000000003</v>
      </c>
      <c r="R240" s="3">
        <v>153.66635099999999</v>
      </c>
    </row>
    <row r="241" spans="2:18" x14ac:dyDescent="0.25">
      <c r="B241" s="3" t="s">
        <v>225</v>
      </c>
      <c r="C241" s="3">
        <v>0</v>
      </c>
      <c r="D241" s="3">
        <v>0</v>
      </c>
      <c r="E241" s="3">
        <v>97.607360999999997</v>
      </c>
      <c r="F241" s="3">
        <v>0</v>
      </c>
      <c r="G241" s="3">
        <v>159.70957899999999</v>
      </c>
      <c r="H241" s="3">
        <v>150.20957899999999</v>
      </c>
      <c r="I241" s="3">
        <v>155.99864199999999</v>
      </c>
      <c r="J241" s="3">
        <v>166.70957899999999</v>
      </c>
      <c r="K241" s="3">
        <v>123.777176</v>
      </c>
      <c r="L241" s="3">
        <v>162.99864199999999</v>
      </c>
      <c r="M241" s="3">
        <v>167.20957899999999</v>
      </c>
      <c r="N241" s="3">
        <v>163.898056</v>
      </c>
      <c r="O241" s="3">
        <v>144.043274</v>
      </c>
      <c r="P241" s="3">
        <v>56.877777000000002</v>
      </c>
      <c r="Q241" s="3">
        <v>87.899947999999995</v>
      </c>
      <c r="R241" s="3">
        <v>212.222229</v>
      </c>
    </row>
    <row r="242" spans="2:18" x14ac:dyDescent="0.25">
      <c r="B242" s="3" t="s">
        <v>337</v>
      </c>
      <c r="C242" s="3">
        <v>0</v>
      </c>
      <c r="D242" s="3">
        <v>0</v>
      </c>
      <c r="E242" s="3">
        <v>197.72924800000001</v>
      </c>
      <c r="F242" s="3">
        <v>139.24795499999999</v>
      </c>
      <c r="G242" s="3">
        <v>240.87896699999999</v>
      </c>
      <c r="H242" s="3">
        <v>239.936981</v>
      </c>
      <c r="I242" s="3">
        <v>235.87896699999999</v>
      </c>
      <c r="J242" s="3">
        <v>249.11303699999999</v>
      </c>
      <c r="K242" s="3">
        <v>213.37896699999999</v>
      </c>
      <c r="L242" s="3">
        <v>247.936981</v>
      </c>
      <c r="M242" s="3">
        <v>246.936981</v>
      </c>
      <c r="N242" s="3">
        <v>240.61303699999999</v>
      </c>
      <c r="O242" s="3">
        <v>206.99697900000001</v>
      </c>
      <c r="P242" s="3">
        <v>108.23477200000001</v>
      </c>
      <c r="Q242" s="3">
        <v>208.557312</v>
      </c>
      <c r="R242" s="3">
        <v>354.54718000000003</v>
      </c>
    </row>
    <row r="243" spans="2:18" x14ac:dyDescent="0.25">
      <c r="B243" s="3" t="s">
        <v>338</v>
      </c>
      <c r="C243" s="3">
        <v>0</v>
      </c>
      <c r="D243" s="3">
        <v>0</v>
      </c>
      <c r="E243" s="3">
        <v>262.33789100000001</v>
      </c>
      <c r="F243" s="3">
        <v>110.728516</v>
      </c>
      <c r="G243" s="3">
        <v>311.33789100000001</v>
      </c>
      <c r="H243" s="3">
        <v>312.00976600000001</v>
      </c>
      <c r="I243" s="3">
        <v>315.96289100000001</v>
      </c>
      <c r="J243" s="3">
        <v>317.63476600000001</v>
      </c>
      <c r="K243" s="3">
        <v>276.49414100000001</v>
      </c>
      <c r="L243" s="3">
        <v>316.664063</v>
      </c>
      <c r="M243" s="3">
        <v>307.164063</v>
      </c>
      <c r="N243" s="3">
        <v>317</v>
      </c>
      <c r="O243" s="3">
        <v>264.60351600000001</v>
      </c>
      <c r="P243" s="3">
        <v>188.90039100000001</v>
      </c>
      <c r="Q243" s="3">
        <v>277.90625</v>
      </c>
      <c r="R243" s="3">
        <v>167.20957899999999</v>
      </c>
    </row>
    <row r="244" spans="2:18" x14ac:dyDescent="0.25">
      <c r="B244" s="3" t="s">
        <v>339</v>
      </c>
      <c r="C244" s="3">
        <v>0</v>
      </c>
      <c r="D244" s="3">
        <v>0</v>
      </c>
      <c r="E244" s="3">
        <v>177.75</v>
      </c>
      <c r="F244" s="3">
        <v>146.58187899999999</v>
      </c>
      <c r="G244" s="3">
        <v>261.131866</v>
      </c>
      <c r="H244" s="3">
        <v>249.631866</v>
      </c>
      <c r="I244" s="3">
        <v>261.131866</v>
      </c>
      <c r="J244" s="3">
        <v>261.19000199999999</v>
      </c>
      <c r="K244" s="3">
        <v>201.85687300000001</v>
      </c>
      <c r="L244" s="3">
        <v>250.131866</v>
      </c>
      <c r="M244" s="3">
        <v>254.35687300000001</v>
      </c>
      <c r="N244" s="3">
        <v>249.19000199999999</v>
      </c>
      <c r="O244" s="3">
        <v>207.19000199999999</v>
      </c>
      <c r="P244" s="3">
        <v>148.5</v>
      </c>
      <c r="Q244" s="3">
        <v>209.671875</v>
      </c>
      <c r="R244" s="3">
        <v>249.11303699999999</v>
      </c>
    </row>
    <row r="245" spans="2:18" x14ac:dyDescent="0.25">
      <c r="B245" s="3" t="s">
        <v>226</v>
      </c>
      <c r="C245" s="3">
        <v>69.5</v>
      </c>
      <c r="D245" s="3">
        <v>25.02</v>
      </c>
      <c r="E245" s="3">
        <v>62.5</v>
      </c>
      <c r="F245" s="3">
        <v>69.5</v>
      </c>
      <c r="G245" s="3">
        <v>69.5</v>
      </c>
      <c r="H245" s="3">
        <v>68</v>
      </c>
      <c r="I245" s="3">
        <v>69.5</v>
      </c>
      <c r="J245" s="3">
        <v>69.5</v>
      </c>
      <c r="K245" s="3">
        <v>6</v>
      </c>
      <c r="L245" s="3">
        <v>69.5</v>
      </c>
      <c r="M245" s="3">
        <v>69.5</v>
      </c>
      <c r="N245" s="3">
        <v>69.5</v>
      </c>
      <c r="O245" s="3">
        <v>6</v>
      </c>
      <c r="P245" s="3">
        <v>56.5</v>
      </c>
      <c r="Q245" s="3">
        <v>69.5</v>
      </c>
      <c r="R245" s="3">
        <v>317.63476600000001</v>
      </c>
    </row>
    <row r="246" spans="2:18" x14ac:dyDescent="0.25">
      <c r="B246" s="3" t="s">
        <v>227</v>
      </c>
      <c r="C246" s="3">
        <v>63</v>
      </c>
      <c r="D246" s="3">
        <v>0</v>
      </c>
      <c r="E246" s="3">
        <v>63</v>
      </c>
      <c r="F246" s="3">
        <v>63</v>
      </c>
      <c r="G246" s="3">
        <v>63</v>
      </c>
      <c r="H246" s="3">
        <v>57.5</v>
      </c>
      <c r="I246" s="3">
        <v>63</v>
      </c>
      <c r="J246" s="3">
        <v>63</v>
      </c>
      <c r="K246" s="3">
        <v>0</v>
      </c>
      <c r="L246" s="3">
        <v>63</v>
      </c>
      <c r="M246" s="3">
        <v>63</v>
      </c>
      <c r="N246" s="3">
        <v>63</v>
      </c>
      <c r="O246" s="3">
        <v>0</v>
      </c>
      <c r="P246" s="3">
        <v>54.5</v>
      </c>
      <c r="Q246" s="3">
        <v>63</v>
      </c>
      <c r="R246" s="3">
        <v>261.19000199999999</v>
      </c>
    </row>
    <row r="247" spans="2:18" x14ac:dyDescent="0.25">
      <c r="B247" s="3" t="s">
        <v>228</v>
      </c>
      <c r="C247" s="3">
        <v>66.702500000000001</v>
      </c>
      <c r="D247" s="3">
        <v>32.739600000000003</v>
      </c>
      <c r="E247" s="3">
        <v>53.330582</v>
      </c>
      <c r="F247" s="3">
        <v>0</v>
      </c>
      <c r="G247" s="3">
        <v>65.702477000000002</v>
      </c>
      <c r="H247" s="3">
        <v>60.702477000000002</v>
      </c>
      <c r="I247" s="3">
        <v>65.702477000000002</v>
      </c>
      <c r="J247" s="3">
        <v>64.202477000000002</v>
      </c>
      <c r="K247" s="3">
        <v>9.8305819999999997</v>
      </c>
      <c r="L247" s="3">
        <v>65.702477000000002</v>
      </c>
      <c r="M247" s="3">
        <v>66.702477000000002</v>
      </c>
      <c r="N247" s="3">
        <v>65.202477000000002</v>
      </c>
      <c r="O247" s="3">
        <v>9.8305819999999997</v>
      </c>
      <c r="P247" s="3">
        <v>35.5</v>
      </c>
      <c r="Q247" s="3">
        <v>50.5</v>
      </c>
      <c r="R247" s="3">
        <v>69.5</v>
      </c>
    </row>
    <row r="248" spans="2:18" x14ac:dyDescent="0.25">
      <c r="B248" s="3" t="s">
        <v>229</v>
      </c>
      <c r="C248" s="3">
        <v>120.9709</v>
      </c>
      <c r="D248" s="3">
        <v>0</v>
      </c>
      <c r="E248" s="3">
        <v>102.883652</v>
      </c>
      <c r="F248" s="3">
        <v>107.036011</v>
      </c>
      <c r="G248" s="3">
        <v>129.88365200000001</v>
      </c>
      <c r="H248" s="3">
        <v>121.943207</v>
      </c>
      <c r="I248" s="3">
        <v>130.38365200000001</v>
      </c>
      <c r="J248" s="3">
        <v>129.38365200000001</v>
      </c>
      <c r="K248" s="3">
        <v>35.5</v>
      </c>
      <c r="L248" s="3">
        <v>126.943207</v>
      </c>
      <c r="M248" s="3">
        <v>129.38365200000001</v>
      </c>
      <c r="N248" s="3">
        <v>127.883652</v>
      </c>
      <c r="O248" s="3">
        <v>40.943207000000001</v>
      </c>
      <c r="P248" s="3">
        <v>91.5</v>
      </c>
      <c r="Q248" s="3">
        <v>95</v>
      </c>
      <c r="R248" s="3">
        <v>63</v>
      </c>
    </row>
    <row r="249" spans="2:18" x14ac:dyDescent="0.25">
      <c r="B249" s="3" t="s">
        <v>230</v>
      </c>
      <c r="C249" s="3">
        <v>86.14</v>
      </c>
      <c r="D249" s="3">
        <v>12.437799999999999</v>
      </c>
      <c r="E249" s="3">
        <v>70.559997999999993</v>
      </c>
      <c r="F249" s="3">
        <v>73.984443999999996</v>
      </c>
      <c r="G249" s="3">
        <v>81.777778999999995</v>
      </c>
      <c r="H249" s="3">
        <v>79.277778999999995</v>
      </c>
      <c r="I249" s="3">
        <v>82.777778999999995</v>
      </c>
      <c r="J249" s="3">
        <v>78.777778999999995</v>
      </c>
      <c r="K249" s="3">
        <v>41.137779000000002</v>
      </c>
      <c r="L249" s="3">
        <v>85.639999000000003</v>
      </c>
      <c r="M249" s="3">
        <v>82.277778999999995</v>
      </c>
      <c r="N249" s="3">
        <v>82.277778999999995</v>
      </c>
      <c r="O249" s="3">
        <v>41.137779000000002</v>
      </c>
      <c r="P249" s="3">
        <v>19.5</v>
      </c>
      <c r="Q249" s="3">
        <v>41.5</v>
      </c>
      <c r="R249" s="3">
        <v>66.702500000000001</v>
      </c>
    </row>
    <row r="250" spans="2:18" x14ac:dyDescent="0.25">
      <c r="B250" s="3" t="s">
        <v>231</v>
      </c>
      <c r="C250" s="3">
        <v>80</v>
      </c>
      <c r="D250" s="3">
        <v>15.2</v>
      </c>
      <c r="E250" s="3">
        <v>62.699997000000003</v>
      </c>
      <c r="F250" s="3">
        <v>80</v>
      </c>
      <c r="G250" s="3">
        <v>80</v>
      </c>
      <c r="H250" s="3">
        <v>77.199996999999996</v>
      </c>
      <c r="I250" s="3">
        <v>80</v>
      </c>
      <c r="J250" s="3">
        <v>80</v>
      </c>
      <c r="K250" s="3">
        <v>29.5</v>
      </c>
      <c r="L250" s="3">
        <v>80</v>
      </c>
      <c r="M250" s="3">
        <v>80</v>
      </c>
      <c r="N250" s="3">
        <v>80</v>
      </c>
      <c r="O250" s="3">
        <v>29.5</v>
      </c>
      <c r="P250" s="3">
        <v>64.5</v>
      </c>
      <c r="Q250" s="3">
        <v>80</v>
      </c>
      <c r="R250" s="3">
        <v>130.38365200000001</v>
      </c>
    </row>
    <row r="251" spans="2:18" x14ac:dyDescent="0.25">
      <c r="B251" s="3" t="s">
        <v>232</v>
      </c>
      <c r="C251" s="3">
        <v>77.326499999999996</v>
      </c>
      <c r="D251" s="3">
        <v>24.938800000000001</v>
      </c>
      <c r="E251" s="3">
        <v>62.826529999999998</v>
      </c>
      <c r="F251" s="3">
        <v>62.306122000000002</v>
      </c>
      <c r="G251" s="3">
        <v>74.510200999999995</v>
      </c>
      <c r="H251" s="3">
        <v>73.010200999999995</v>
      </c>
      <c r="I251" s="3">
        <v>74.510200999999995</v>
      </c>
      <c r="J251" s="3">
        <v>74.510200999999995</v>
      </c>
      <c r="K251" s="3">
        <v>14.510201</v>
      </c>
      <c r="L251" s="3">
        <v>74.510200999999995</v>
      </c>
      <c r="M251" s="3">
        <v>73.010200999999995</v>
      </c>
      <c r="N251" s="3">
        <v>75.326530000000005</v>
      </c>
      <c r="O251" s="3">
        <v>14.510201</v>
      </c>
      <c r="P251" s="3">
        <v>35</v>
      </c>
      <c r="Q251" s="3">
        <v>43.5</v>
      </c>
      <c r="R251" s="3">
        <v>86.14</v>
      </c>
    </row>
    <row r="252" spans="2:18" x14ac:dyDescent="0.25">
      <c r="B252" s="3" t="s">
        <v>233</v>
      </c>
      <c r="C252" s="3">
        <v>58.333300000000001</v>
      </c>
      <c r="D252" s="3">
        <v>18.333300000000001</v>
      </c>
      <c r="E252" s="3">
        <v>46.333331999999999</v>
      </c>
      <c r="F252" s="3">
        <v>53.333331999999999</v>
      </c>
      <c r="G252" s="3">
        <v>58.333331999999999</v>
      </c>
      <c r="H252" s="3">
        <v>56.333331999999999</v>
      </c>
      <c r="I252" s="3">
        <v>58.333331999999999</v>
      </c>
      <c r="J252" s="3">
        <v>58.333331999999999</v>
      </c>
      <c r="K252" s="3">
        <v>0</v>
      </c>
      <c r="L252" s="3">
        <v>58.333331999999999</v>
      </c>
      <c r="M252" s="3">
        <v>58.333331999999999</v>
      </c>
      <c r="N252" s="3">
        <v>58.333331999999999</v>
      </c>
      <c r="O252" s="3">
        <v>0</v>
      </c>
      <c r="P252" s="3">
        <v>39.5</v>
      </c>
      <c r="Q252" s="3">
        <v>38</v>
      </c>
      <c r="R252" s="3">
        <v>80</v>
      </c>
    </row>
    <row r="253" spans="2:18" x14ac:dyDescent="0.25">
      <c r="B253" s="3" t="s">
        <v>234</v>
      </c>
      <c r="C253" s="3">
        <v>77.959999999999994</v>
      </c>
      <c r="D253" s="3">
        <v>0</v>
      </c>
      <c r="E253" s="3">
        <v>79.127502000000007</v>
      </c>
      <c r="F253" s="3">
        <v>36.360000999999997</v>
      </c>
      <c r="G253" s="3">
        <v>83.6875</v>
      </c>
      <c r="H253" s="3">
        <v>80.1875</v>
      </c>
      <c r="I253" s="3">
        <v>82.459998999999996</v>
      </c>
      <c r="J253" s="3">
        <v>84.959998999999996</v>
      </c>
      <c r="K253" s="3">
        <v>0</v>
      </c>
      <c r="L253" s="3">
        <v>83.6875</v>
      </c>
      <c r="M253" s="3">
        <v>82.959998999999996</v>
      </c>
      <c r="N253" s="3">
        <v>81.227501000000004</v>
      </c>
      <c r="O253" s="3">
        <v>0</v>
      </c>
      <c r="P253" s="3">
        <v>26</v>
      </c>
      <c r="Q253" s="3">
        <v>49</v>
      </c>
      <c r="R253" s="3">
        <v>77.326499999999996</v>
      </c>
    </row>
    <row r="254" spans="2:18" x14ac:dyDescent="0.25">
      <c r="B254" s="3" t="s">
        <v>235</v>
      </c>
      <c r="C254" s="3">
        <v>159</v>
      </c>
      <c r="D254" s="3">
        <v>0</v>
      </c>
      <c r="E254" s="3">
        <v>151</v>
      </c>
      <c r="F254" s="3">
        <v>97.804687999999999</v>
      </c>
      <c r="G254" s="3">
        <v>158</v>
      </c>
      <c r="H254" s="3">
        <v>148.492188</v>
      </c>
      <c r="I254" s="3">
        <v>158</v>
      </c>
      <c r="J254" s="3">
        <v>158</v>
      </c>
      <c r="K254" s="3">
        <v>76.5</v>
      </c>
      <c r="L254" s="3">
        <v>158</v>
      </c>
      <c r="M254" s="3">
        <v>158</v>
      </c>
      <c r="N254" s="3">
        <v>158</v>
      </c>
      <c r="O254" s="3">
        <v>76.5</v>
      </c>
      <c r="P254" s="3">
        <v>109</v>
      </c>
      <c r="Q254" s="3">
        <v>152</v>
      </c>
      <c r="R254" s="3">
        <v>58.333331999999999</v>
      </c>
    </row>
    <row r="255" spans="2:18" x14ac:dyDescent="0.25">
      <c r="B255" s="3" t="s">
        <v>236</v>
      </c>
      <c r="C255" s="3">
        <v>37.8889</v>
      </c>
      <c r="D255" s="3">
        <v>0</v>
      </c>
      <c r="E255" s="3">
        <v>24.5</v>
      </c>
      <c r="F255" s="3">
        <v>12.222222</v>
      </c>
      <c r="G255" s="3">
        <v>37.388888999999999</v>
      </c>
      <c r="H255" s="3">
        <v>34.388888999999999</v>
      </c>
      <c r="I255" s="3">
        <v>37.388888999999999</v>
      </c>
      <c r="J255" s="3">
        <v>37.388888999999999</v>
      </c>
      <c r="K255" s="3">
        <v>0</v>
      </c>
      <c r="L255" s="3">
        <v>37.388888999999999</v>
      </c>
      <c r="M255" s="3">
        <v>37.888888999999999</v>
      </c>
      <c r="N255" s="3">
        <v>37.888888999999999</v>
      </c>
      <c r="O255" s="3">
        <v>0</v>
      </c>
      <c r="P255" s="3">
        <v>11</v>
      </c>
      <c r="Q255" s="3">
        <v>13.5</v>
      </c>
      <c r="R255" s="3">
        <v>84.959998999999996</v>
      </c>
    </row>
    <row r="256" spans="2:18" x14ac:dyDescent="0.25">
      <c r="B256" s="3" t="s">
        <v>237</v>
      </c>
      <c r="C256" s="3">
        <v>40.5</v>
      </c>
      <c r="D256" s="3">
        <v>0</v>
      </c>
      <c r="E256" s="3">
        <v>39.5</v>
      </c>
      <c r="F256" s="3">
        <v>0</v>
      </c>
      <c r="G256" s="3">
        <v>40.5</v>
      </c>
      <c r="H256" s="3">
        <v>40.5</v>
      </c>
      <c r="I256" s="3">
        <v>40.5</v>
      </c>
      <c r="J256" s="3">
        <v>40.5</v>
      </c>
      <c r="K256" s="3">
        <v>0</v>
      </c>
      <c r="L256" s="3">
        <v>40.5</v>
      </c>
      <c r="M256" s="3">
        <v>40.5</v>
      </c>
      <c r="N256" s="3">
        <v>40.5</v>
      </c>
      <c r="O256" s="3">
        <v>0</v>
      </c>
      <c r="P256" s="3">
        <v>39.5</v>
      </c>
      <c r="Q256" s="3">
        <v>40</v>
      </c>
      <c r="R256" s="3">
        <v>159</v>
      </c>
    </row>
    <row r="257" spans="2:18" x14ac:dyDescent="0.25">
      <c r="B257" s="3" t="s">
        <v>238</v>
      </c>
      <c r="C257" s="3">
        <v>52.5</v>
      </c>
      <c r="D257" s="3">
        <v>0</v>
      </c>
      <c r="E257" s="3">
        <v>48.541668000000001</v>
      </c>
      <c r="F257" s="3">
        <v>52.5</v>
      </c>
      <c r="G257" s="3">
        <v>52.5</v>
      </c>
      <c r="H257" s="3">
        <v>52</v>
      </c>
      <c r="I257" s="3">
        <v>52.5</v>
      </c>
      <c r="J257" s="3">
        <v>52.5</v>
      </c>
      <c r="K257" s="3">
        <v>0</v>
      </c>
      <c r="L257" s="3">
        <v>52.5</v>
      </c>
      <c r="M257" s="3">
        <v>52.5</v>
      </c>
      <c r="N257" s="3">
        <v>52.5</v>
      </c>
      <c r="O257" s="3">
        <v>0</v>
      </c>
      <c r="P257" s="3">
        <v>32</v>
      </c>
      <c r="Q257" s="3">
        <v>47</v>
      </c>
      <c r="R257" s="3">
        <v>37.8889</v>
      </c>
    </row>
    <row r="258" spans="2:18" x14ac:dyDescent="0.25">
      <c r="B258" s="3" t="s">
        <v>239</v>
      </c>
      <c r="C258" s="3">
        <v>57.405000000000001</v>
      </c>
      <c r="D258" s="3">
        <v>0</v>
      </c>
      <c r="E258" s="3">
        <v>45.404998999999997</v>
      </c>
      <c r="F258" s="3">
        <v>54.145000000000003</v>
      </c>
      <c r="G258" s="3">
        <v>57.119999</v>
      </c>
      <c r="H258" s="3">
        <v>54.119999</v>
      </c>
      <c r="I258" s="3">
        <v>56.619999</v>
      </c>
      <c r="J258" s="3">
        <v>57.404998999999997</v>
      </c>
      <c r="K258" s="3">
        <v>0</v>
      </c>
      <c r="L258" s="3">
        <v>57.119999</v>
      </c>
      <c r="M258" s="3">
        <v>57.404998999999997</v>
      </c>
      <c r="N258" s="3">
        <v>57.404998999999997</v>
      </c>
      <c r="O258" s="3">
        <v>0</v>
      </c>
      <c r="P258" s="3">
        <v>0</v>
      </c>
      <c r="Q258" s="3">
        <v>40</v>
      </c>
      <c r="R258" s="3">
        <v>40.5</v>
      </c>
    </row>
    <row r="259" spans="2:18" x14ac:dyDescent="0.25">
      <c r="B259" s="3" t="s">
        <v>240</v>
      </c>
      <c r="C259" s="3">
        <v>45.5</v>
      </c>
      <c r="D259" s="3">
        <v>16.38</v>
      </c>
      <c r="E259" s="3">
        <v>45.5</v>
      </c>
      <c r="F259" s="3">
        <v>45.5</v>
      </c>
      <c r="G259" s="3">
        <v>45.5</v>
      </c>
      <c r="H259" s="3">
        <v>42.5</v>
      </c>
      <c r="I259" s="3">
        <v>45.5</v>
      </c>
      <c r="J259" s="3">
        <v>45.5</v>
      </c>
      <c r="K259" s="3">
        <v>0</v>
      </c>
      <c r="L259" s="3">
        <v>45.5</v>
      </c>
      <c r="M259" s="3">
        <v>45.5</v>
      </c>
      <c r="N259" s="3">
        <v>45.5</v>
      </c>
      <c r="O259" s="3">
        <v>0</v>
      </c>
      <c r="P259" s="3">
        <v>42</v>
      </c>
      <c r="Q259" s="3">
        <v>45.5</v>
      </c>
      <c r="R259" s="3">
        <v>52.5</v>
      </c>
    </row>
    <row r="260" spans="2:18" x14ac:dyDescent="0.25">
      <c r="B260" s="3" t="s">
        <v>241</v>
      </c>
      <c r="C260" s="3">
        <v>53.6982</v>
      </c>
      <c r="D260" s="3">
        <v>8.1361000000000008</v>
      </c>
      <c r="E260" s="3">
        <v>33.863906999999998</v>
      </c>
      <c r="F260" s="3">
        <v>53.698222999999999</v>
      </c>
      <c r="G260" s="3">
        <v>53.698222999999999</v>
      </c>
      <c r="H260" s="3">
        <v>50.198222999999999</v>
      </c>
      <c r="I260" s="3">
        <v>53.698222999999999</v>
      </c>
      <c r="J260" s="3">
        <v>53.198222999999999</v>
      </c>
      <c r="K260" s="3">
        <v>0</v>
      </c>
      <c r="L260" s="3">
        <v>53.698222999999999</v>
      </c>
      <c r="M260" s="3">
        <v>53.698222999999999</v>
      </c>
      <c r="N260" s="3">
        <v>53.698222999999999</v>
      </c>
      <c r="O260" s="3">
        <v>0</v>
      </c>
      <c r="P260" s="3">
        <v>20.5</v>
      </c>
      <c r="Q260" s="3">
        <v>29.5</v>
      </c>
      <c r="R260" s="3">
        <v>57.405000000000001</v>
      </c>
    </row>
    <row r="261" spans="2:18" x14ac:dyDescent="0.25">
      <c r="B261" s="3" t="s">
        <v>242</v>
      </c>
      <c r="C261" s="3">
        <v>19.0123</v>
      </c>
      <c r="D261" s="3">
        <v>11.1111</v>
      </c>
      <c r="E261" s="3">
        <v>14.512346000000001</v>
      </c>
      <c r="F261" s="3">
        <v>0</v>
      </c>
      <c r="G261" s="3">
        <v>19.012346000000001</v>
      </c>
      <c r="H261" s="3">
        <v>19.012346000000001</v>
      </c>
      <c r="I261" s="3">
        <v>17.777778999999999</v>
      </c>
      <c r="J261" s="3">
        <v>19.012346000000001</v>
      </c>
      <c r="K261" s="3">
        <v>0</v>
      </c>
      <c r="L261" s="3">
        <v>19.012346000000001</v>
      </c>
      <c r="M261" s="3">
        <v>19.012346000000001</v>
      </c>
      <c r="N261" s="3">
        <v>19.012346000000001</v>
      </c>
      <c r="O261" s="3">
        <v>0</v>
      </c>
      <c r="P261" s="3">
        <v>9.5</v>
      </c>
      <c r="Q261" s="3">
        <v>4.5</v>
      </c>
      <c r="R261" s="3">
        <v>45.5</v>
      </c>
    </row>
    <row r="262" spans="2:18" x14ac:dyDescent="0.25">
      <c r="B262" s="3" t="s">
        <v>243</v>
      </c>
      <c r="C262" s="3">
        <v>26.5</v>
      </c>
      <c r="D262" s="3">
        <v>9.5399999999999991</v>
      </c>
      <c r="E262" s="3">
        <v>26.5</v>
      </c>
      <c r="F262" s="3">
        <v>25.440000999999999</v>
      </c>
      <c r="G262" s="3">
        <v>26.5</v>
      </c>
      <c r="H262" s="3">
        <v>26.5</v>
      </c>
      <c r="I262" s="3">
        <v>26.5</v>
      </c>
      <c r="J262" s="3">
        <v>26.5</v>
      </c>
      <c r="K262" s="3">
        <v>0</v>
      </c>
      <c r="L262" s="3">
        <v>26.5</v>
      </c>
      <c r="M262" s="3">
        <v>26.5</v>
      </c>
      <c r="N262" s="3">
        <v>26.5</v>
      </c>
      <c r="O262" s="3">
        <v>0</v>
      </c>
      <c r="P262" s="3">
        <v>13.5</v>
      </c>
      <c r="Q262" s="3">
        <v>26.5</v>
      </c>
      <c r="R262" s="3">
        <v>53.698222999999999</v>
      </c>
    </row>
    <row r="263" spans="2:18" x14ac:dyDescent="0.25">
      <c r="B263" s="3" t="s">
        <v>244</v>
      </c>
      <c r="C263" s="3">
        <v>36.5</v>
      </c>
      <c r="D263" s="3">
        <v>23.36</v>
      </c>
      <c r="E263" s="3">
        <v>31.5</v>
      </c>
      <c r="F263" s="3">
        <v>0</v>
      </c>
      <c r="G263" s="3">
        <v>36.5</v>
      </c>
      <c r="H263" s="3">
        <v>36</v>
      </c>
      <c r="I263" s="3">
        <v>36.5</v>
      </c>
      <c r="J263" s="3">
        <v>34</v>
      </c>
      <c r="K263" s="3">
        <v>0</v>
      </c>
      <c r="L263" s="3">
        <v>36.5</v>
      </c>
      <c r="M263" s="3">
        <v>36</v>
      </c>
      <c r="N263" s="3">
        <v>36</v>
      </c>
      <c r="O263" s="3">
        <v>0</v>
      </c>
      <c r="P263" s="3">
        <v>21</v>
      </c>
      <c r="Q263" s="3">
        <v>30</v>
      </c>
      <c r="R263" s="3">
        <v>19.012346000000001</v>
      </c>
    </row>
    <row r="264" spans="2:18" x14ac:dyDescent="0.25">
      <c r="B264" s="3" t="s">
        <v>245</v>
      </c>
      <c r="C264" s="3">
        <v>21.5</v>
      </c>
      <c r="D264" s="3">
        <v>0</v>
      </c>
      <c r="E264" s="3">
        <v>20</v>
      </c>
      <c r="F264" s="3">
        <v>0</v>
      </c>
      <c r="G264" s="3">
        <v>21</v>
      </c>
      <c r="H264" s="3">
        <v>20</v>
      </c>
      <c r="I264" s="3">
        <v>21</v>
      </c>
      <c r="J264" s="3">
        <v>20.5</v>
      </c>
      <c r="K264" s="3">
        <v>0</v>
      </c>
      <c r="L264" s="3">
        <v>21</v>
      </c>
      <c r="M264" s="3">
        <v>21</v>
      </c>
      <c r="N264" s="3">
        <v>21.5</v>
      </c>
      <c r="O264" s="3">
        <v>0</v>
      </c>
      <c r="P264" s="3">
        <v>2.5</v>
      </c>
      <c r="Q264" s="3">
        <v>19</v>
      </c>
      <c r="R264" s="3">
        <v>26.5</v>
      </c>
    </row>
    <row r="265" spans="2:18" x14ac:dyDescent="0.25">
      <c r="B265" s="3" t="s">
        <v>340</v>
      </c>
      <c r="C265" s="3">
        <v>0</v>
      </c>
      <c r="D265" s="3">
        <v>0</v>
      </c>
      <c r="E265" s="3">
        <v>350.78512599999999</v>
      </c>
      <c r="F265" s="3">
        <v>65.330582000000007</v>
      </c>
      <c r="G265" s="3">
        <v>401.913208</v>
      </c>
      <c r="H265" s="3">
        <v>390.85537699999998</v>
      </c>
      <c r="I265" s="3">
        <v>396.413208</v>
      </c>
      <c r="J265" s="3">
        <v>396.95867900000002</v>
      </c>
      <c r="K265" s="3">
        <v>370.70248400000003</v>
      </c>
      <c r="L265" s="3">
        <v>385.413208</v>
      </c>
      <c r="M265" s="3">
        <v>397.28512599999999</v>
      </c>
      <c r="N265" s="3">
        <v>387.78512599999999</v>
      </c>
      <c r="O265" s="3">
        <v>362.78512599999999</v>
      </c>
      <c r="P265" s="3">
        <v>230.24380500000001</v>
      </c>
      <c r="Q265" s="3">
        <v>348.380157</v>
      </c>
      <c r="R265" s="3">
        <v>36.5</v>
      </c>
    </row>
    <row r="266" spans="2:18" x14ac:dyDescent="0.25">
      <c r="B266" s="3" t="s">
        <v>246</v>
      </c>
      <c r="C266" s="3">
        <v>0</v>
      </c>
      <c r="D266" s="3">
        <v>0</v>
      </c>
      <c r="E266" s="3">
        <v>308.983856</v>
      </c>
      <c r="F266" s="3">
        <v>213.359283</v>
      </c>
      <c r="G266" s="3">
        <v>373.06170700000001</v>
      </c>
      <c r="H266" s="3">
        <v>370.942902</v>
      </c>
      <c r="I266" s="3">
        <v>376.942902</v>
      </c>
      <c r="J266" s="3">
        <v>378.442902</v>
      </c>
      <c r="K266" s="3">
        <v>353.00344799999999</v>
      </c>
      <c r="L266" s="3">
        <v>374.06170700000001</v>
      </c>
      <c r="M266" s="3">
        <v>367.06170700000001</v>
      </c>
      <c r="N266" s="3">
        <v>375.442902</v>
      </c>
      <c r="O266" s="3">
        <v>307.16378800000001</v>
      </c>
      <c r="P266" s="3">
        <v>191.32641599999999</v>
      </c>
      <c r="Q266" s="3">
        <v>338.64129600000001</v>
      </c>
      <c r="R266" s="3">
        <v>21.5</v>
      </c>
    </row>
    <row r="267" spans="2:18" x14ac:dyDescent="0.25">
      <c r="B267" s="3" t="s">
        <v>341</v>
      </c>
      <c r="C267" s="3">
        <v>0</v>
      </c>
      <c r="D267" s="3">
        <v>0</v>
      </c>
      <c r="E267" s="3">
        <v>412.62851000000001</v>
      </c>
      <c r="F267" s="3">
        <v>188.514084</v>
      </c>
      <c r="G267" s="3">
        <v>477.404968</v>
      </c>
      <c r="H267" s="3">
        <v>467.404968</v>
      </c>
      <c r="I267" s="3">
        <v>491.904968</v>
      </c>
      <c r="J267" s="3">
        <v>487.45916699999998</v>
      </c>
      <c r="K267" s="3">
        <v>451.904968</v>
      </c>
      <c r="L267" s="3">
        <v>474.95916699999998</v>
      </c>
      <c r="M267" s="3">
        <v>460.95916699999998</v>
      </c>
      <c r="N267" s="3">
        <v>469.30664100000001</v>
      </c>
      <c r="O267" s="3">
        <v>459.14398199999999</v>
      </c>
      <c r="P267" s="3">
        <v>280.91522200000003</v>
      </c>
      <c r="Q267" s="3">
        <v>445.62023900000003</v>
      </c>
      <c r="R267" s="3">
        <v>401.913208</v>
      </c>
    </row>
    <row r="268" spans="2:18" x14ac:dyDescent="0.25">
      <c r="B268" s="3" t="s">
        <v>247</v>
      </c>
      <c r="C268" s="3">
        <v>0</v>
      </c>
      <c r="D268" s="3">
        <v>0</v>
      </c>
      <c r="E268" s="3">
        <v>225.44464099999999</v>
      </c>
      <c r="F268" s="3">
        <v>171.15051299999999</v>
      </c>
      <c r="G268" s="3">
        <v>290.410034</v>
      </c>
      <c r="H268" s="3">
        <v>279.410034</v>
      </c>
      <c r="I268" s="3">
        <v>290.09515399999998</v>
      </c>
      <c r="J268" s="3">
        <v>289.910034</v>
      </c>
      <c r="K268" s="3">
        <v>254.53286700000001</v>
      </c>
      <c r="L268" s="3">
        <v>291.410034</v>
      </c>
      <c r="M268" s="3">
        <v>283.124573</v>
      </c>
      <c r="N268" s="3">
        <v>289</v>
      </c>
      <c r="O268" s="3">
        <v>266.53286700000001</v>
      </c>
      <c r="P268" s="3">
        <v>156.73876999999999</v>
      </c>
      <c r="Q268" s="3">
        <v>224.531128</v>
      </c>
      <c r="R268" s="3">
        <v>378.442902</v>
      </c>
    </row>
    <row r="269" spans="2:18" x14ac:dyDescent="0.25">
      <c r="B269" s="3" t="s">
        <v>342</v>
      </c>
      <c r="C269" s="3">
        <v>0</v>
      </c>
      <c r="D269" s="3">
        <v>0</v>
      </c>
      <c r="E269" s="3">
        <v>288.017853</v>
      </c>
      <c r="F269" s="3">
        <v>272.91967799999998</v>
      </c>
      <c r="G269" s="3">
        <v>317.70373499999999</v>
      </c>
      <c r="H269" s="3">
        <v>307.02349900000002</v>
      </c>
      <c r="I269" s="3">
        <v>320.20373499999999</v>
      </c>
      <c r="J269" s="3">
        <v>315.58209199999999</v>
      </c>
      <c r="K269" s="3">
        <v>279.38845800000001</v>
      </c>
      <c r="L269" s="3">
        <v>316.04492199999999</v>
      </c>
      <c r="M269" s="3">
        <v>308.517853</v>
      </c>
      <c r="N269" s="3">
        <v>309.04492199999999</v>
      </c>
      <c r="O269" s="3">
        <v>291.13504</v>
      </c>
      <c r="P269" s="3">
        <v>214.53152499999999</v>
      </c>
      <c r="Q269" s="3">
        <v>276.38845800000001</v>
      </c>
      <c r="R269" s="3">
        <v>491.904968</v>
      </c>
    </row>
    <row r="270" spans="2:18" x14ac:dyDescent="0.25">
      <c r="B270" s="3" t="s">
        <v>343</v>
      </c>
      <c r="C270" s="3">
        <v>0</v>
      </c>
      <c r="D270" s="3">
        <v>0</v>
      </c>
      <c r="E270" s="3">
        <v>317.12991299999999</v>
      </c>
      <c r="F270" s="3">
        <v>167.41632100000001</v>
      </c>
      <c r="G270" s="3">
        <v>337.92871100000002</v>
      </c>
      <c r="H270" s="3">
        <v>327.72909499999997</v>
      </c>
      <c r="I270" s="3">
        <v>340.12991299999999</v>
      </c>
      <c r="J270" s="3">
        <v>338.12991299999999</v>
      </c>
      <c r="K270" s="3">
        <v>313.42871100000002</v>
      </c>
      <c r="L270" s="3">
        <v>338.42871100000002</v>
      </c>
      <c r="M270" s="3">
        <v>338.92871100000002</v>
      </c>
      <c r="N270" s="3">
        <v>339.42871100000002</v>
      </c>
      <c r="O270" s="3">
        <v>314.72314499999999</v>
      </c>
      <c r="P270" s="3">
        <v>202.02477999999999</v>
      </c>
      <c r="Q270" s="3">
        <v>295.406769</v>
      </c>
      <c r="R270" s="3">
        <v>291.410034</v>
      </c>
    </row>
    <row r="271" spans="2:18" x14ac:dyDescent="0.25">
      <c r="B271" s="3" t="s">
        <v>344</v>
      </c>
      <c r="C271" s="3">
        <v>0</v>
      </c>
      <c r="D271" s="3">
        <v>12.1447</v>
      </c>
      <c r="E271" s="3">
        <v>399.75585899999999</v>
      </c>
      <c r="F271" s="3">
        <v>369.41210899999999</v>
      </c>
      <c r="G271" s="3">
        <v>469.02496300000001</v>
      </c>
      <c r="H271" s="3">
        <v>466.649292</v>
      </c>
      <c r="I271" s="3">
        <v>473.149292</v>
      </c>
      <c r="J271" s="3">
        <v>474.273438</v>
      </c>
      <c r="K271" s="3">
        <v>444.25933800000001</v>
      </c>
      <c r="L271" s="3">
        <v>472.52496300000001</v>
      </c>
      <c r="M271" s="3">
        <v>452.38891599999999</v>
      </c>
      <c r="N271" s="3">
        <v>471.02496300000001</v>
      </c>
      <c r="O271" s="3">
        <v>437.375</v>
      </c>
      <c r="P271" s="3">
        <v>290.430542</v>
      </c>
      <c r="Q271" s="3">
        <v>440.95898399999999</v>
      </c>
      <c r="R271" s="3">
        <v>320.20373499999999</v>
      </c>
    </row>
    <row r="272" spans="2:18" x14ac:dyDescent="0.25">
      <c r="B272" s="3" t="s">
        <v>345</v>
      </c>
      <c r="C272" s="3">
        <v>0</v>
      </c>
      <c r="D272" s="3">
        <v>20.462399999999999</v>
      </c>
      <c r="E272" s="3">
        <v>149.7724</v>
      </c>
      <c r="F272" s="3">
        <v>139.30839499999999</v>
      </c>
      <c r="G272" s="3">
        <v>199.740005</v>
      </c>
      <c r="H272" s="3">
        <v>185.240005</v>
      </c>
      <c r="I272" s="3">
        <v>197.82839999999999</v>
      </c>
      <c r="J272" s="3">
        <v>197.740005</v>
      </c>
      <c r="K272" s="3">
        <v>135.55999800000001</v>
      </c>
      <c r="L272" s="3">
        <v>194.67439300000001</v>
      </c>
      <c r="M272" s="3">
        <v>196.32839999999999</v>
      </c>
      <c r="N272" s="3">
        <v>190.740005</v>
      </c>
      <c r="O272" s="3">
        <v>171.537598</v>
      </c>
      <c r="P272" s="3">
        <v>61.060394000000002</v>
      </c>
      <c r="Q272" s="3">
        <v>170.05999800000001</v>
      </c>
      <c r="R272" s="3">
        <v>340.12991299999999</v>
      </c>
    </row>
    <row r="273" spans="2:18" x14ac:dyDescent="0.25">
      <c r="B273" s="3" t="s">
        <v>248</v>
      </c>
      <c r="C273" s="3">
        <v>155.82849999999999</v>
      </c>
      <c r="D273" s="3">
        <v>22.654900000000001</v>
      </c>
      <c r="E273" s="3">
        <v>191.18388400000001</v>
      </c>
      <c r="F273" s="3">
        <v>125.421997</v>
      </c>
      <c r="G273" s="3">
        <v>218.0625</v>
      </c>
      <c r="H273" s="3">
        <v>209.33109999999999</v>
      </c>
      <c r="I273" s="3">
        <v>219.5625</v>
      </c>
      <c r="J273" s="3">
        <v>219.33109999999999</v>
      </c>
      <c r="K273" s="3">
        <v>168.07025100000001</v>
      </c>
      <c r="L273" s="3">
        <v>208.828506</v>
      </c>
      <c r="M273" s="3">
        <v>213.74018899999999</v>
      </c>
      <c r="N273" s="3">
        <v>218.328506</v>
      </c>
      <c r="O273" s="3">
        <v>171.07025100000001</v>
      </c>
      <c r="P273" s="3">
        <v>91.5</v>
      </c>
      <c r="Q273" s="3">
        <v>176.86828600000001</v>
      </c>
      <c r="R273" s="3">
        <v>474.273438</v>
      </c>
    </row>
    <row r="274" spans="2:18" x14ac:dyDescent="0.25">
      <c r="B274" s="3" t="s">
        <v>346</v>
      </c>
      <c r="C274" s="3">
        <v>0</v>
      </c>
      <c r="D274" s="3">
        <v>0</v>
      </c>
      <c r="E274" s="3">
        <v>233.45455899999999</v>
      </c>
      <c r="F274" s="3">
        <v>147.27271999999999</v>
      </c>
      <c r="G274" s="3">
        <v>312.44317599999999</v>
      </c>
      <c r="H274" s="3">
        <v>306.590912</v>
      </c>
      <c r="I274" s="3">
        <v>320.590912</v>
      </c>
      <c r="J274" s="3">
        <v>315.997162</v>
      </c>
      <c r="K274" s="3">
        <v>282.65625</v>
      </c>
      <c r="L274" s="3">
        <v>311.94317599999999</v>
      </c>
      <c r="M274" s="3">
        <v>320.94317599999999</v>
      </c>
      <c r="N274" s="3">
        <v>307.497162</v>
      </c>
      <c r="O274" s="3">
        <v>289.36364700000001</v>
      </c>
      <c r="P274" s="3">
        <v>202.747162</v>
      </c>
      <c r="Q274" s="3">
        <v>275.36364700000001</v>
      </c>
      <c r="R274" s="3">
        <v>199.740005</v>
      </c>
    </row>
    <row r="275" spans="2:18" x14ac:dyDescent="0.25">
      <c r="B275" s="3" t="s">
        <v>249</v>
      </c>
      <c r="C275" s="3">
        <v>106.1157</v>
      </c>
      <c r="D275" s="3">
        <v>0</v>
      </c>
      <c r="E275" s="3">
        <v>87.462806999999998</v>
      </c>
      <c r="F275" s="3">
        <v>105.6157</v>
      </c>
      <c r="G275" s="3">
        <v>106.1157</v>
      </c>
      <c r="H275" s="3">
        <v>97.615700000000004</v>
      </c>
      <c r="I275" s="3">
        <v>106.1157</v>
      </c>
      <c r="J275" s="3">
        <v>103.5</v>
      </c>
      <c r="K275" s="3">
        <v>11.5</v>
      </c>
      <c r="L275" s="3">
        <v>104.6157</v>
      </c>
      <c r="M275" s="3">
        <v>102.6157</v>
      </c>
      <c r="N275" s="3">
        <v>99.615700000000004</v>
      </c>
      <c r="O275" s="3">
        <v>28.665291</v>
      </c>
      <c r="P275" s="3">
        <v>68</v>
      </c>
      <c r="Q275" s="3">
        <v>85.5</v>
      </c>
      <c r="R275" s="3">
        <v>219.5625</v>
      </c>
    </row>
    <row r="276" spans="2:18" x14ac:dyDescent="0.25">
      <c r="B276" s="3" t="s">
        <v>250</v>
      </c>
      <c r="C276" s="3">
        <v>125.09180000000001</v>
      </c>
      <c r="D276" s="3">
        <v>0</v>
      </c>
      <c r="E276" s="3">
        <v>119.611115</v>
      </c>
      <c r="F276" s="3">
        <v>117.532883</v>
      </c>
      <c r="G276" s="3">
        <v>130.61111500000001</v>
      </c>
      <c r="H276" s="3">
        <v>124.111115</v>
      </c>
      <c r="I276" s="3">
        <v>132.38322400000001</v>
      </c>
      <c r="J276" s="3">
        <v>130.09184300000001</v>
      </c>
      <c r="K276" s="3">
        <v>48.591842999999997</v>
      </c>
      <c r="L276" s="3">
        <v>133.59184300000001</v>
      </c>
      <c r="M276" s="3">
        <v>131.61111500000001</v>
      </c>
      <c r="N276" s="3">
        <v>128.09184300000001</v>
      </c>
      <c r="O276" s="3">
        <v>48.591842999999997</v>
      </c>
      <c r="P276" s="3">
        <v>44</v>
      </c>
      <c r="Q276" s="3">
        <v>54</v>
      </c>
      <c r="R276" s="3">
        <v>320.94317599999999</v>
      </c>
    </row>
    <row r="277" spans="2:18" x14ac:dyDescent="0.25">
      <c r="B277" s="3" t="s">
        <v>251</v>
      </c>
      <c r="C277" s="3">
        <v>130.58160000000001</v>
      </c>
      <c r="D277" s="3">
        <v>0</v>
      </c>
      <c r="E277" s="3">
        <v>122.08163500000001</v>
      </c>
      <c r="F277" s="3">
        <v>96.306122000000002</v>
      </c>
      <c r="G277" s="3">
        <v>122.08163500000001</v>
      </c>
      <c r="H277" s="3">
        <v>119.08163500000001</v>
      </c>
      <c r="I277" s="3">
        <v>135.08163500000001</v>
      </c>
      <c r="J277" s="3">
        <v>136.08163500000001</v>
      </c>
      <c r="K277" s="3">
        <v>60.326537999999999</v>
      </c>
      <c r="L277" s="3">
        <v>136.08163500000001</v>
      </c>
      <c r="M277" s="3">
        <v>136.08163500000001</v>
      </c>
      <c r="N277" s="3">
        <v>129.58163500000001</v>
      </c>
      <c r="O277" s="3">
        <v>61.826537999999999</v>
      </c>
      <c r="P277" s="3">
        <v>41</v>
      </c>
      <c r="Q277" s="3">
        <v>101</v>
      </c>
      <c r="R277" s="3">
        <v>106.1157</v>
      </c>
    </row>
    <row r="278" spans="2:18" x14ac:dyDescent="0.25">
      <c r="B278" s="3" t="s">
        <v>252</v>
      </c>
      <c r="C278" s="3">
        <v>150.5</v>
      </c>
      <c r="D278" s="3">
        <v>0</v>
      </c>
      <c r="E278" s="3">
        <v>142.37754799999999</v>
      </c>
      <c r="F278" s="3">
        <v>103.040817</v>
      </c>
      <c r="G278" s="3">
        <v>150</v>
      </c>
      <c r="H278" s="3">
        <v>143.5</v>
      </c>
      <c r="I278" s="3">
        <v>148.5</v>
      </c>
      <c r="J278" s="3">
        <v>148</v>
      </c>
      <c r="K278" s="3">
        <v>55</v>
      </c>
      <c r="L278" s="3">
        <v>152</v>
      </c>
      <c r="M278" s="3">
        <v>151</v>
      </c>
      <c r="N278" s="3">
        <v>150.5</v>
      </c>
      <c r="O278" s="3">
        <v>57.377547999999997</v>
      </c>
      <c r="P278" s="3">
        <v>123</v>
      </c>
      <c r="Q278" s="3">
        <v>143.5</v>
      </c>
      <c r="R278" s="3">
        <v>133.59184300000001</v>
      </c>
    </row>
    <row r="279" spans="2:18" x14ac:dyDescent="0.25">
      <c r="B279" s="3" t="s">
        <v>253</v>
      </c>
      <c r="C279" s="3">
        <v>105.89</v>
      </c>
      <c r="D279" s="3">
        <v>0</v>
      </c>
      <c r="E279" s="3">
        <v>86.889999000000003</v>
      </c>
      <c r="F279" s="3">
        <v>93.239998</v>
      </c>
      <c r="G279" s="3">
        <v>104.389999</v>
      </c>
      <c r="H279" s="3">
        <v>98.559997999999993</v>
      </c>
      <c r="I279" s="3">
        <v>99.059997999999993</v>
      </c>
      <c r="J279" s="3">
        <v>104.389999</v>
      </c>
      <c r="K279" s="3">
        <v>39</v>
      </c>
      <c r="L279" s="3">
        <v>103.55999799999999</v>
      </c>
      <c r="M279" s="3">
        <v>103.55999799999999</v>
      </c>
      <c r="N279" s="3">
        <v>101.389999</v>
      </c>
      <c r="O279" s="3">
        <v>39</v>
      </c>
      <c r="P279" s="3">
        <v>49.5</v>
      </c>
      <c r="Q279" s="3">
        <v>51</v>
      </c>
      <c r="R279" s="3">
        <v>136.08163500000001</v>
      </c>
    </row>
    <row r="280" spans="2:18" x14ac:dyDescent="0.25">
      <c r="B280" s="3" t="s">
        <v>254</v>
      </c>
      <c r="C280" s="3">
        <v>202.5</v>
      </c>
      <c r="D280" s="3">
        <v>0</v>
      </c>
      <c r="E280" s="3">
        <v>159.33673099999999</v>
      </c>
      <c r="F280" s="3">
        <v>137.387756</v>
      </c>
      <c r="G280" s="3">
        <v>199.5</v>
      </c>
      <c r="H280" s="3">
        <v>196.5</v>
      </c>
      <c r="I280" s="3">
        <v>195.5</v>
      </c>
      <c r="J280" s="3">
        <v>199.5</v>
      </c>
      <c r="K280" s="3">
        <v>89.5</v>
      </c>
      <c r="L280" s="3">
        <v>199.83673099999999</v>
      </c>
      <c r="M280" s="3">
        <v>202.5</v>
      </c>
      <c r="N280" s="3">
        <v>202.5</v>
      </c>
      <c r="O280" s="3">
        <v>89.5</v>
      </c>
      <c r="P280" s="3">
        <v>89</v>
      </c>
      <c r="Q280" s="3">
        <v>191.5</v>
      </c>
      <c r="R280" s="3">
        <v>152</v>
      </c>
    </row>
    <row r="281" spans="2:18" x14ac:dyDescent="0.25">
      <c r="B281" s="3" t="s">
        <v>255</v>
      </c>
      <c r="C281" s="3">
        <v>105.5</v>
      </c>
      <c r="D281" s="3">
        <v>0</v>
      </c>
      <c r="E281" s="3">
        <v>98.419753999999998</v>
      </c>
      <c r="F281" s="3">
        <v>90.679016000000004</v>
      </c>
      <c r="G281" s="3">
        <v>103.419754</v>
      </c>
      <c r="H281" s="3">
        <v>100.104935</v>
      </c>
      <c r="I281" s="3">
        <v>107.604935</v>
      </c>
      <c r="J281" s="3">
        <v>105.604935</v>
      </c>
      <c r="K281" s="3">
        <v>34.919753999999998</v>
      </c>
      <c r="L281" s="3">
        <v>105.604935</v>
      </c>
      <c r="M281" s="3">
        <v>108.104935</v>
      </c>
      <c r="N281" s="3">
        <v>106.604935</v>
      </c>
      <c r="O281" s="3">
        <v>37.5</v>
      </c>
      <c r="P281" s="3">
        <v>81.5</v>
      </c>
      <c r="Q281" s="3">
        <v>98.5</v>
      </c>
      <c r="R281" s="3">
        <v>105.89</v>
      </c>
    </row>
    <row r="282" spans="2:18" x14ac:dyDescent="0.25">
      <c r="B282" s="3" t="s">
        <v>256</v>
      </c>
      <c r="C282" s="3">
        <v>152.0102</v>
      </c>
      <c r="D282" s="3">
        <v>0</v>
      </c>
      <c r="E282" s="3">
        <v>118.51020800000001</v>
      </c>
      <c r="F282" s="3">
        <v>0</v>
      </c>
      <c r="G282" s="3">
        <v>152.55555699999999</v>
      </c>
      <c r="H282" s="3">
        <v>146.18481399999999</v>
      </c>
      <c r="I282" s="3">
        <v>154.55555699999999</v>
      </c>
      <c r="J282" s="3">
        <v>158.01020800000001</v>
      </c>
      <c r="K282" s="3">
        <v>27</v>
      </c>
      <c r="L282" s="3">
        <v>157.55555699999999</v>
      </c>
      <c r="M282" s="3">
        <v>152.68481399999999</v>
      </c>
      <c r="N282" s="3">
        <v>151.05555699999999</v>
      </c>
      <c r="O282" s="3">
        <v>27</v>
      </c>
      <c r="P282" s="3">
        <v>66</v>
      </c>
      <c r="Q282" s="3">
        <v>106.5</v>
      </c>
      <c r="R282" s="3">
        <v>202.5</v>
      </c>
    </row>
    <row r="283" spans="2:18" x14ac:dyDescent="0.25">
      <c r="B283" s="3" t="s">
        <v>257</v>
      </c>
      <c r="C283" s="3">
        <v>183.10499999999999</v>
      </c>
      <c r="D283" s="3">
        <v>0</v>
      </c>
      <c r="E283" s="3">
        <v>167.104996</v>
      </c>
      <c r="F283" s="3">
        <v>36.005001</v>
      </c>
      <c r="G283" s="3">
        <v>184.104996</v>
      </c>
      <c r="H283" s="3">
        <v>178.104996</v>
      </c>
      <c r="I283" s="3">
        <v>180.104996</v>
      </c>
      <c r="J283" s="3">
        <v>180.104996</v>
      </c>
      <c r="K283" s="3">
        <v>105.5</v>
      </c>
      <c r="L283" s="3">
        <v>170.445007</v>
      </c>
      <c r="M283" s="3">
        <v>175.91999799999999</v>
      </c>
      <c r="N283" s="3">
        <v>177.104996</v>
      </c>
      <c r="O283" s="3">
        <v>105.5</v>
      </c>
      <c r="P283" s="3">
        <v>148</v>
      </c>
      <c r="Q283" s="3">
        <v>147</v>
      </c>
      <c r="R283" s="3">
        <v>108.104935</v>
      </c>
    </row>
    <row r="284" spans="2:18" x14ac:dyDescent="0.25">
      <c r="B284" s="3" t="s">
        <v>258</v>
      </c>
      <c r="C284" s="3">
        <v>159.94</v>
      </c>
      <c r="D284" s="3">
        <v>0</v>
      </c>
      <c r="E284" s="3">
        <v>137.615005</v>
      </c>
      <c r="F284" s="3">
        <v>148.259995</v>
      </c>
      <c r="G284" s="3">
        <v>154.44000199999999</v>
      </c>
      <c r="H284" s="3">
        <v>153.94000199999999</v>
      </c>
      <c r="I284" s="3">
        <v>154.615005</v>
      </c>
      <c r="J284" s="3">
        <v>154.94000199999999</v>
      </c>
      <c r="K284" s="3">
        <v>108.735001</v>
      </c>
      <c r="L284" s="3">
        <v>153.615005</v>
      </c>
      <c r="M284" s="3">
        <v>153.615005</v>
      </c>
      <c r="N284" s="3">
        <v>152.115005</v>
      </c>
      <c r="O284" s="3">
        <v>108.735001</v>
      </c>
      <c r="P284" s="3">
        <v>107.5</v>
      </c>
      <c r="Q284" s="3">
        <v>112</v>
      </c>
      <c r="R284" s="3">
        <v>158.01020800000001</v>
      </c>
    </row>
    <row r="285" spans="2:18" x14ac:dyDescent="0.25">
      <c r="B285" s="3" t="s">
        <v>259</v>
      </c>
      <c r="C285" s="3">
        <v>35.5</v>
      </c>
      <c r="D285" s="3">
        <v>9.4184000000000001</v>
      </c>
      <c r="E285" s="3">
        <v>29.775509</v>
      </c>
      <c r="F285" s="3">
        <v>32.602038999999998</v>
      </c>
      <c r="G285" s="3">
        <v>35.5</v>
      </c>
      <c r="H285" s="3">
        <v>35</v>
      </c>
      <c r="I285" s="3">
        <v>35.5</v>
      </c>
      <c r="J285" s="3">
        <v>34.775509</v>
      </c>
      <c r="K285" s="3">
        <v>0</v>
      </c>
      <c r="L285" s="3">
        <v>35.5</v>
      </c>
      <c r="M285" s="3">
        <v>35.5</v>
      </c>
      <c r="N285" s="3">
        <v>35.5</v>
      </c>
      <c r="O285" s="3">
        <v>0</v>
      </c>
      <c r="P285" s="3">
        <v>23.5</v>
      </c>
      <c r="Q285" s="3">
        <v>35</v>
      </c>
      <c r="R285" s="3">
        <v>184.104996</v>
      </c>
    </row>
    <row r="286" spans="2:18" x14ac:dyDescent="0.25">
      <c r="B286" s="3" t="s">
        <v>260</v>
      </c>
      <c r="C286" s="3">
        <v>64.429100000000005</v>
      </c>
      <c r="D286" s="3">
        <v>21.3996</v>
      </c>
      <c r="E286" s="3">
        <v>57.247405999999998</v>
      </c>
      <c r="F286" s="3">
        <v>64.429069999999996</v>
      </c>
      <c r="G286" s="3">
        <v>64.429069999999996</v>
      </c>
      <c r="H286" s="3">
        <v>58.929070000000003</v>
      </c>
      <c r="I286" s="3">
        <v>64.429069999999996</v>
      </c>
      <c r="J286" s="3">
        <v>63.769897</v>
      </c>
      <c r="K286" s="3">
        <v>0</v>
      </c>
      <c r="L286" s="3">
        <v>64.579582000000002</v>
      </c>
      <c r="M286" s="3">
        <v>64.079582000000002</v>
      </c>
      <c r="N286" s="3">
        <v>64.429069999999996</v>
      </c>
      <c r="O286" s="3">
        <v>0</v>
      </c>
      <c r="P286" s="3">
        <v>58.5</v>
      </c>
      <c r="Q286" s="3">
        <v>53.5</v>
      </c>
      <c r="R286" s="3">
        <v>159.94</v>
      </c>
    </row>
    <row r="287" spans="2:18" x14ac:dyDescent="0.25">
      <c r="B287" s="3" t="s">
        <v>261</v>
      </c>
      <c r="C287" s="3">
        <v>54</v>
      </c>
      <c r="D287" s="3">
        <v>0</v>
      </c>
      <c r="E287" s="3">
        <v>54</v>
      </c>
      <c r="F287" s="3">
        <v>54</v>
      </c>
      <c r="G287" s="3">
        <v>54</v>
      </c>
      <c r="H287" s="3">
        <v>54</v>
      </c>
      <c r="I287" s="3">
        <v>54</v>
      </c>
      <c r="J287" s="3">
        <v>54</v>
      </c>
      <c r="K287" s="3">
        <v>0</v>
      </c>
      <c r="L287" s="3">
        <v>54</v>
      </c>
      <c r="M287" s="3">
        <v>54</v>
      </c>
      <c r="N287" s="3">
        <v>54</v>
      </c>
      <c r="O287" s="3">
        <v>0</v>
      </c>
      <c r="P287" s="3">
        <v>42.5</v>
      </c>
      <c r="Q287" s="3">
        <v>54</v>
      </c>
      <c r="R287" s="3">
        <v>35.5</v>
      </c>
    </row>
    <row r="288" spans="2:18" x14ac:dyDescent="0.25">
      <c r="B288" s="3" t="s">
        <v>262</v>
      </c>
      <c r="C288" s="3">
        <v>67</v>
      </c>
      <c r="D288" s="3">
        <v>0</v>
      </c>
      <c r="E288" s="3">
        <v>62.953125</v>
      </c>
      <c r="F288" s="3">
        <v>65.953125</v>
      </c>
      <c r="G288" s="3">
        <v>67</v>
      </c>
      <c r="H288" s="3">
        <v>66</v>
      </c>
      <c r="I288" s="3">
        <v>67</v>
      </c>
      <c r="J288" s="3">
        <v>66</v>
      </c>
      <c r="K288" s="3">
        <v>0</v>
      </c>
      <c r="L288" s="3">
        <v>67</v>
      </c>
      <c r="M288" s="3">
        <v>67</v>
      </c>
      <c r="N288" s="3">
        <v>67</v>
      </c>
      <c r="O288" s="3">
        <v>0</v>
      </c>
      <c r="P288" s="3">
        <v>55</v>
      </c>
      <c r="Q288" s="3">
        <v>66.5</v>
      </c>
      <c r="R288" s="3">
        <v>64.579582000000002</v>
      </c>
    </row>
    <row r="289" spans="2:18" x14ac:dyDescent="0.25">
      <c r="B289" s="3" t="s">
        <v>263</v>
      </c>
      <c r="C289" s="3">
        <v>68.5</v>
      </c>
      <c r="D289" s="3">
        <v>18.306100000000001</v>
      </c>
      <c r="E289" s="3">
        <v>67.091835000000003</v>
      </c>
      <c r="F289" s="3">
        <v>67.591835000000003</v>
      </c>
      <c r="G289" s="3">
        <v>67.591835000000003</v>
      </c>
      <c r="H289" s="3">
        <v>68</v>
      </c>
      <c r="I289" s="3">
        <v>67</v>
      </c>
      <c r="J289" s="3">
        <v>67.5</v>
      </c>
      <c r="K289" s="3">
        <v>0</v>
      </c>
      <c r="L289" s="3">
        <v>67.591835000000003</v>
      </c>
      <c r="M289" s="3">
        <v>68</v>
      </c>
      <c r="N289" s="3">
        <v>68</v>
      </c>
      <c r="O289" s="3">
        <v>0</v>
      </c>
      <c r="P289" s="3">
        <v>45</v>
      </c>
      <c r="Q289" s="3">
        <v>64</v>
      </c>
      <c r="R289" s="3">
        <v>54</v>
      </c>
    </row>
    <row r="290" spans="2:18" x14ac:dyDescent="0.25">
      <c r="B290" s="3" t="s">
        <v>264</v>
      </c>
      <c r="C290" s="3">
        <v>38.333300000000001</v>
      </c>
      <c r="D290" s="3">
        <v>12.833299999999999</v>
      </c>
      <c r="E290" s="3">
        <v>27.333331999999999</v>
      </c>
      <c r="F290" s="3">
        <v>0</v>
      </c>
      <c r="G290" s="3">
        <v>37.833331999999999</v>
      </c>
      <c r="H290" s="3">
        <v>37.833331999999999</v>
      </c>
      <c r="I290" s="3">
        <v>38.333331999999999</v>
      </c>
      <c r="J290" s="3">
        <v>36.333331999999999</v>
      </c>
      <c r="K290" s="3">
        <v>0</v>
      </c>
      <c r="L290" s="3">
        <v>37.833331999999999</v>
      </c>
      <c r="M290" s="3">
        <v>38.333331999999999</v>
      </c>
      <c r="N290" s="3">
        <v>38.333331999999999</v>
      </c>
      <c r="O290" s="3">
        <v>0</v>
      </c>
      <c r="P290" s="3">
        <v>22</v>
      </c>
      <c r="Q290" s="3">
        <v>32.5</v>
      </c>
      <c r="R290" s="3">
        <v>67</v>
      </c>
    </row>
    <row r="291" spans="2:18" x14ac:dyDescent="0.25">
      <c r="B291" s="3" t="s">
        <v>265</v>
      </c>
      <c r="C291" s="3">
        <v>51.628799999999998</v>
      </c>
      <c r="D291" s="3">
        <v>10.9695</v>
      </c>
      <c r="E291" s="3">
        <v>45.249305999999997</v>
      </c>
      <c r="F291" s="3">
        <v>52.562328000000001</v>
      </c>
      <c r="G291" s="3">
        <v>53.628807000000002</v>
      </c>
      <c r="H291" s="3">
        <v>53.128807000000002</v>
      </c>
      <c r="I291" s="3">
        <v>53.628807000000002</v>
      </c>
      <c r="J291" s="3">
        <v>50.562328000000001</v>
      </c>
      <c r="K291" s="3">
        <v>0</v>
      </c>
      <c r="L291" s="3">
        <v>52.628807000000002</v>
      </c>
      <c r="M291" s="3">
        <v>53.628807000000002</v>
      </c>
      <c r="N291" s="3">
        <v>52.628807000000002</v>
      </c>
      <c r="O291" s="3">
        <v>0</v>
      </c>
      <c r="P291" s="3">
        <v>0</v>
      </c>
      <c r="Q291" s="3">
        <v>26</v>
      </c>
      <c r="R291" s="3">
        <v>68.5</v>
      </c>
    </row>
    <row r="292" spans="2:18" x14ac:dyDescent="0.25">
      <c r="B292" s="3" t="s">
        <v>266</v>
      </c>
      <c r="C292" s="3">
        <v>48.320999999999998</v>
      </c>
      <c r="D292" s="3">
        <v>0</v>
      </c>
      <c r="E292" s="3">
        <v>44.320988</v>
      </c>
      <c r="F292" s="3">
        <v>30.555554999999998</v>
      </c>
      <c r="G292" s="3">
        <v>46.820988</v>
      </c>
      <c r="H292" s="3">
        <v>45.283951000000002</v>
      </c>
      <c r="I292" s="3">
        <v>46.388888999999999</v>
      </c>
      <c r="J292" s="3">
        <v>46.783951000000002</v>
      </c>
      <c r="K292" s="3">
        <v>0</v>
      </c>
      <c r="L292" s="3">
        <v>46.388888999999999</v>
      </c>
      <c r="M292" s="3">
        <v>48.283951000000002</v>
      </c>
      <c r="N292" s="3">
        <v>48.283951000000002</v>
      </c>
      <c r="O292" s="3">
        <v>0</v>
      </c>
      <c r="P292" s="3">
        <v>29.5</v>
      </c>
      <c r="Q292" s="3">
        <v>28.5</v>
      </c>
      <c r="R292" s="3">
        <v>38.333331999999999</v>
      </c>
    </row>
    <row r="293" spans="2:18" x14ac:dyDescent="0.25">
      <c r="B293" s="3" t="s">
        <v>267</v>
      </c>
      <c r="C293" s="3">
        <v>61</v>
      </c>
      <c r="D293" s="3">
        <v>0</v>
      </c>
      <c r="E293" s="3">
        <v>56.046875</v>
      </c>
      <c r="F293" s="3">
        <v>26.6875</v>
      </c>
      <c r="G293" s="3">
        <v>61</v>
      </c>
      <c r="H293" s="3">
        <v>61</v>
      </c>
      <c r="I293" s="3">
        <v>61</v>
      </c>
      <c r="J293" s="3">
        <v>61</v>
      </c>
      <c r="K293" s="3">
        <v>0</v>
      </c>
      <c r="L293" s="3">
        <v>61</v>
      </c>
      <c r="M293" s="3">
        <v>61</v>
      </c>
      <c r="N293" s="3">
        <v>61</v>
      </c>
      <c r="O293" s="3">
        <v>0</v>
      </c>
      <c r="P293" s="3">
        <v>58</v>
      </c>
      <c r="Q293" s="3">
        <v>60.5</v>
      </c>
      <c r="R293" s="3">
        <v>53.628807000000002</v>
      </c>
    </row>
    <row r="294" spans="2:18" x14ac:dyDescent="0.25">
      <c r="B294" s="3" t="s">
        <v>268</v>
      </c>
      <c r="C294" s="3">
        <v>75</v>
      </c>
      <c r="D294" s="3">
        <v>0</v>
      </c>
      <c r="E294" s="3">
        <v>75</v>
      </c>
      <c r="F294" s="3">
        <v>75</v>
      </c>
      <c r="G294" s="3">
        <v>75</v>
      </c>
      <c r="H294" s="3">
        <v>74.5</v>
      </c>
      <c r="I294" s="3">
        <v>75</v>
      </c>
      <c r="J294" s="3">
        <v>75</v>
      </c>
      <c r="K294" s="3">
        <v>0</v>
      </c>
      <c r="L294" s="3">
        <v>75</v>
      </c>
      <c r="M294" s="3">
        <v>75</v>
      </c>
      <c r="N294" s="3">
        <v>75</v>
      </c>
      <c r="O294" s="3">
        <v>0</v>
      </c>
      <c r="P294" s="3">
        <v>71</v>
      </c>
      <c r="Q294" s="3">
        <v>75</v>
      </c>
      <c r="R294" s="3">
        <v>48.320999999999998</v>
      </c>
    </row>
    <row r="295" spans="2:18" x14ac:dyDescent="0.25">
      <c r="B295" s="3" t="s">
        <v>269</v>
      </c>
      <c r="C295" s="3">
        <v>129.2937</v>
      </c>
      <c r="D295" s="3">
        <v>0</v>
      </c>
      <c r="E295" s="3">
        <v>109.865082</v>
      </c>
      <c r="F295" s="3">
        <v>95.642859999999999</v>
      </c>
      <c r="G295" s="3">
        <v>129.293655</v>
      </c>
      <c r="H295" s="3">
        <v>112.571426</v>
      </c>
      <c r="I295" s="3">
        <v>125.865082</v>
      </c>
      <c r="J295" s="3">
        <v>128.865082</v>
      </c>
      <c r="K295" s="3">
        <v>98.571426000000002</v>
      </c>
      <c r="L295" s="3">
        <v>125.865082</v>
      </c>
      <c r="M295" s="3">
        <v>125.365082</v>
      </c>
      <c r="N295" s="3">
        <v>128.865082</v>
      </c>
      <c r="O295" s="3">
        <v>98.571426000000002</v>
      </c>
      <c r="P295" s="3">
        <v>84</v>
      </c>
      <c r="Q295" s="3">
        <v>89</v>
      </c>
      <c r="R295" s="3">
        <v>61</v>
      </c>
    </row>
    <row r="296" spans="2:18" x14ac:dyDescent="0.25">
      <c r="B296" s="3" t="s">
        <v>270</v>
      </c>
      <c r="C296" s="3">
        <v>92.44</v>
      </c>
      <c r="D296" s="3">
        <v>0</v>
      </c>
      <c r="E296" s="3">
        <v>63.5</v>
      </c>
      <c r="F296" s="3">
        <v>0</v>
      </c>
      <c r="G296" s="3">
        <v>93.535004000000001</v>
      </c>
      <c r="H296" s="3">
        <v>79.760002</v>
      </c>
      <c r="I296" s="3">
        <v>89.375</v>
      </c>
      <c r="J296" s="3">
        <v>93.239998</v>
      </c>
      <c r="K296" s="3">
        <v>49.440002</v>
      </c>
      <c r="L296" s="3">
        <v>94.440002000000007</v>
      </c>
      <c r="M296" s="3">
        <v>79.739998</v>
      </c>
      <c r="N296" s="3">
        <v>92.875</v>
      </c>
      <c r="O296" s="3">
        <v>49.760002</v>
      </c>
      <c r="P296" s="3">
        <v>47.5</v>
      </c>
      <c r="Q296" s="3">
        <v>65.5</v>
      </c>
      <c r="R296" s="3">
        <v>75</v>
      </c>
    </row>
    <row r="297" spans="2:18" x14ac:dyDescent="0.25">
      <c r="B297" s="3" t="s">
        <v>271</v>
      </c>
      <c r="C297" s="3">
        <v>0</v>
      </c>
      <c r="D297" s="3">
        <v>0</v>
      </c>
      <c r="E297" s="3">
        <v>88.338286999999994</v>
      </c>
      <c r="F297" s="3">
        <v>12.504756</v>
      </c>
      <c r="G297" s="3">
        <v>129.95957899999999</v>
      </c>
      <c r="H297" s="3">
        <v>125.409042</v>
      </c>
      <c r="I297" s="3">
        <v>128.95957899999999</v>
      </c>
      <c r="J297" s="3">
        <v>133.45481899999999</v>
      </c>
      <c r="K297" s="3">
        <v>114.95957900000001</v>
      </c>
      <c r="L297" s="3">
        <v>132.95957899999999</v>
      </c>
      <c r="M297" s="3">
        <v>127.061829</v>
      </c>
      <c r="N297" s="3">
        <v>129.95957899999999</v>
      </c>
      <c r="O297" s="3">
        <v>115.730087</v>
      </c>
      <c r="P297" s="3">
        <v>77.489898999999994</v>
      </c>
      <c r="Q297" s="3">
        <v>103.515457</v>
      </c>
      <c r="R297" s="3">
        <v>129.2937</v>
      </c>
    </row>
    <row r="298" spans="2:18" x14ac:dyDescent="0.25">
      <c r="B298" s="3" t="s">
        <v>272</v>
      </c>
      <c r="C298" s="3">
        <v>152.71619999999999</v>
      </c>
      <c r="D298" s="3">
        <v>0</v>
      </c>
      <c r="E298" s="3">
        <v>134.37837200000001</v>
      </c>
      <c r="F298" s="3">
        <v>21.405404999999998</v>
      </c>
      <c r="G298" s="3">
        <v>158.135132</v>
      </c>
      <c r="H298" s="3">
        <v>163.986481</v>
      </c>
      <c r="I298" s="3">
        <v>165.013519</v>
      </c>
      <c r="J298" s="3">
        <v>165.95945699999999</v>
      </c>
      <c r="K298" s="3">
        <v>131.283783</v>
      </c>
      <c r="L298" s="3">
        <v>166.513519</v>
      </c>
      <c r="M298" s="3">
        <v>164.45945699999999</v>
      </c>
      <c r="N298" s="3">
        <v>166.45945699999999</v>
      </c>
      <c r="O298" s="3">
        <v>131.283783</v>
      </c>
      <c r="P298" s="3">
        <v>118</v>
      </c>
      <c r="Q298" s="3">
        <v>133.851349</v>
      </c>
      <c r="R298" s="3">
        <v>94.440002000000007</v>
      </c>
    </row>
    <row r="299" spans="2:18" x14ac:dyDescent="0.25">
      <c r="B299" s="3" t="s">
        <v>273</v>
      </c>
      <c r="C299" s="3">
        <v>0</v>
      </c>
      <c r="D299" s="3">
        <v>0</v>
      </c>
      <c r="E299" s="3">
        <v>131.83264199999999</v>
      </c>
      <c r="F299" s="3">
        <v>34.524006</v>
      </c>
      <c r="G299" s="3">
        <v>180.80384799999999</v>
      </c>
      <c r="H299" s="3">
        <v>173.61111500000001</v>
      </c>
      <c r="I299" s="3">
        <v>174.61111500000001</v>
      </c>
      <c r="J299" s="3">
        <v>185.33264199999999</v>
      </c>
      <c r="K299" s="3">
        <v>155.23388700000001</v>
      </c>
      <c r="L299" s="3">
        <v>175.754456</v>
      </c>
      <c r="M299" s="3">
        <v>184.11111500000001</v>
      </c>
      <c r="N299" s="3">
        <v>182.80384799999999</v>
      </c>
      <c r="O299" s="3">
        <v>155.23388700000001</v>
      </c>
      <c r="P299" s="3">
        <v>122.688614</v>
      </c>
      <c r="Q299" s="3">
        <v>151.54937699999999</v>
      </c>
      <c r="R299" s="3">
        <v>133.45481899999999</v>
      </c>
    </row>
    <row r="300" spans="2:18" x14ac:dyDescent="0.25">
      <c r="B300" s="3" t="s">
        <v>274</v>
      </c>
      <c r="C300" s="3">
        <v>130.1122</v>
      </c>
      <c r="D300" s="3">
        <v>9.3501999999999992</v>
      </c>
      <c r="E300" s="3">
        <v>108.448975</v>
      </c>
      <c r="F300" s="3">
        <v>35.774692999999999</v>
      </c>
      <c r="G300" s="3">
        <v>137.327347</v>
      </c>
      <c r="H300" s="3">
        <v>134.827347</v>
      </c>
      <c r="I300" s="3">
        <v>136.52366599999999</v>
      </c>
      <c r="J300" s="3">
        <v>140.62162799999999</v>
      </c>
      <c r="K300" s="3">
        <v>101.780411</v>
      </c>
      <c r="L300" s="3">
        <v>137.12162799999999</v>
      </c>
      <c r="M300" s="3">
        <v>134.59877</v>
      </c>
      <c r="N300" s="3">
        <v>137.86000100000001</v>
      </c>
      <c r="O300" s="3">
        <v>114.948975</v>
      </c>
      <c r="P300" s="3">
        <v>85.5</v>
      </c>
      <c r="Q300" s="3">
        <v>97.5</v>
      </c>
      <c r="R300" s="3">
        <v>166.513519</v>
      </c>
    </row>
    <row r="301" spans="2:18" x14ac:dyDescent="0.25">
      <c r="B301" s="3" t="s">
        <v>275</v>
      </c>
      <c r="C301" s="3">
        <v>168.7396</v>
      </c>
      <c r="D301" s="3">
        <v>0</v>
      </c>
      <c r="E301" s="3">
        <v>96.414199999999994</v>
      </c>
      <c r="F301" s="3">
        <v>74.393494000000004</v>
      </c>
      <c r="G301" s="3">
        <v>170.23963900000001</v>
      </c>
      <c r="H301" s="3">
        <v>165.23963900000001</v>
      </c>
      <c r="I301" s="3">
        <v>166.73963900000001</v>
      </c>
      <c r="J301" s="3">
        <v>170.23963900000001</v>
      </c>
      <c r="K301" s="3">
        <v>136.08580000000001</v>
      </c>
      <c r="L301" s="3">
        <v>157.488159</v>
      </c>
      <c r="M301" s="3">
        <v>154.195267</v>
      </c>
      <c r="N301" s="3">
        <v>167.488159</v>
      </c>
      <c r="O301" s="3">
        <v>133.35798600000001</v>
      </c>
      <c r="P301" s="3">
        <v>113.934906</v>
      </c>
      <c r="Q301" s="3">
        <v>148.08580000000001</v>
      </c>
      <c r="R301" s="3">
        <v>185.33264199999999</v>
      </c>
    </row>
    <row r="302" spans="2:18" x14ac:dyDescent="0.25">
      <c r="B302" s="3" t="s">
        <v>347</v>
      </c>
      <c r="C302" s="3">
        <v>0</v>
      </c>
      <c r="D302" s="3">
        <v>0</v>
      </c>
      <c r="E302" s="3">
        <v>166.67713900000001</v>
      </c>
      <c r="F302" s="3">
        <v>153.867188</v>
      </c>
      <c r="G302" s="3">
        <v>202.93351699999999</v>
      </c>
      <c r="H302" s="3">
        <v>197.29336499999999</v>
      </c>
      <c r="I302" s="3">
        <v>200.887756</v>
      </c>
      <c r="J302" s="3">
        <v>200.79336499999999</v>
      </c>
      <c r="K302" s="3">
        <v>170.887756</v>
      </c>
      <c r="L302" s="3">
        <v>203.492188</v>
      </c>
      <c r="M302" s="3">
        <v>196.43351699999999</v>
      </c>
      <c r="N302" s="3">
        <v>201.992188</v>
      </c>
      <c r="O302" s="3">
        <v>165.89269999999999</v>
      </c>
      <c r="P302" s="3">
        <v>109.10141</v>
      </c>
      <c r="Q302" s="3">
        <v>156.84693899999999</v>
      </c>
      <c r="R302" s="3">
        <v>140.62162799999999</v>
      </c>
    </row>
    <row r="303" spans="2:18" x14ac:dyDescent="0.25">
      <c r="B303" s="3" t="s">
        <v>276</v>
      </c>
      <c r="C303" s="3">
        <v>144.5907</v>
      </c>
      <c r="D303" s="3">
        <v>0</v>
      </c>
      <c r="E303" s="3">
        <v>92.386581000000007</v>
      </c>
      <c r="F303" s="3">
        <v>0</v>
      </c>
      <c r="G303" s="3">
        <v>140.660675</v>
      </c>
      <c r="H303" s="3">
        <v>134.41871599999999</v>
      </c>
      <c r="I303" s="3">
        <v>141.86294599999999</v>
      </c>
      <c r="J303" s="3">
        <v>144.82797199999999</v>
      </c>
      <c r="K303" s="3">
        <v>110.827972</v>
      </c>
      <c r="L303" s="3">
        <v>148.86294599999999</v>
      </c>
      <c r="M303" s="3">
        <v>137.91871599999999</v>
      </c>
      <c r="N303" s="3">
        <v>145.86294599999999</v>
      </c>
      <c r="O303" s="3">
        <v>107.176743</v>
      </c>
      <c r="P303" s="3">
        <v>80.5</v>
      </c>
      <c r="Q303" s="3">
        <v>107.5</v>
      </c>
      <c r="R303" s="3">
        <v>170.23963900000001</v>
      </c>
    </row>
    <row r="304" spans="2:18" x14ac:dyDescent="0.25">
      <c r="B304" s="3" t="s">
        <v>277</v>
      </c>
      <c r="C304" s="3">
        <v>116.4066</v>
      </c>
      <c r="D304" s="3">
        <v>0</v>
      </c>
      <c r="E304" s="3">
        <v>95.740478999999993</v>
      </c>
      <c r="F304" s="3">
        <v>0</v>
      </c>
      <c r="G304" s="3">
        <v>116.83390799999999</v>
      </c>
      <c r="H304" s="3">
        <v>117.24047899999999</v>
      </c>
      <c r="I304" s="3">
        <v>120.74047899999999</v>
      </c>
      <c r="J304" s="3">
        <v>126.74047899999999</v>
      </c>
      <c r="K304" s="3">
        <v>88.333907999999994</v>
      </c>
      <c r="L304" s="3">
        <v>112.62629699999999</v>
      </c>
      <c r="M304" s="3">
        <v>124.74047899999999</v>
      </c>
      <c r="N304" s="3">
        <v>114.74047899999999</v>
      </c>
      <c r="O304" s="3">
        <v>88.626296999999994</v>
      </c>
      <c r="P304" s="3">
        <v>43</v>
      </c>
      <c r="Q304" s="3">
        <v>85.458481000000006</v>
      </c>
      <c r="R304" s="3">
        <v>203.492188</v>
      </c>
    </row>
    <row r="305" spans="2:18" x14ac:dyDescent="0.25">
      <c r="B305" s="3" t="s">
        <v>278</v>
      </c>
      <c r="C305" s="3">
        <v>80.88</v>
      </c>
      <c r="D305" s="3">
        <v>0</v>
      </c>
      <c r="E305" s="3">
        <v>44.019996999999996</v>
      </c>
      <c r="F305" s="3">
        <v>67.875</v>
      </c>
      <c r="G305" s="3">
        <v>79.379997000000003</v>
      </c>
      <c r="H305" s="3">
        <v>76</v>
      </c>
      <c r="I305" s="3">
        <v>76.5</v>
      </c>
      <c r="J305" s="3">
        <v>80.595000999999996</v>
      </c>
      <c r="K305" s="3">
        <v>31</v>
      </c>
      <c r="L305" s="3">
        <v>79.379997000000003</v>
      </c>
      <c r="M305" s="3">
        <v>77.879997000000003</v>
      </c>
      <c r="N305" s="3">
        <v>78.595000999999996</v>
      </c>
      <c r="O305" s="3">
        <v>31</v>
      </c>
      <c r="P305" s="3">
        <v>63</v>
      </c>
      <c r="Q305" s="3">
        <v>49</v>
      </c>
      <c r="R305" s="3">
        <v>148.86294599999999</v>
      </c>
    </row>
    <row r="306" spans="2:18" x14ac:dyDescent="0.25">
      <c r="B306" s="3" t="s">
        <v>279</v>
      </c>
      <c r="C306" s="3">
        <v>91.358199999999997</v>
      </c>
      <c r="D306" s="3">
        <v>30.6465</v>
      </c>
      <c r="E306" s="3">
        <v>76.932891999999995</v>
      </c>
      <c r="F306" s="3">
        <v>87.561440000000005</v>
      </c>
      <c r="G306" s="3">
        <v>93.581283999999997</v>
      </c>
      <c r="H306" s="3">
        <v>85.061440000000005</v>
      </c>
      <c r="I306" s="3">
        <v>94.858222999999995</v>
      </c>
      <c r="J306" s="3">
        <v>91.770325</v>
      </c>
      <c r="K306" s="3">
        <v>40.581283999999997</v>
      </c>
      <c r="L306" s="3">
        <v>94.858222999999995</v>
      </c>
      <c r="M306" s="3">
        <v>93.858222999999995</v>
      </c>
      <c r="N306" s="3">
        <v>90.081283999999997</v>
      </c>
      <c r="O306" s="3">
        <v>40.581283999999997</v>
      </c>
      <c r="P306" s="3">
        <v>83.5</v>
      </c>
      <c r="Q306" s="3">
        <v>69.5</v>
      </c>
      <c r="R306" s="3">
        <v>126.74047899999999</v>
      </c>
    </row>
    <row r="307" spans="2:18" x14ac:dyDescent="0.25">
      <c r="B307" s="3" t="s">
        <v>280</v>
      </c>
      <c r="C307" s="3">
        <v>84.622200000000007</v>
      </c>
      <c r="D307" s="3">
        <v>47.222200000000001</v>
      </c>
      <c r="E307" s="3">
        <v>70.455558999999994</v>
      </c>
      <c r="F307" s="3">
        <v>66.488892000000007</v>
      </c>
      <c r="G307" s="3">
        <v>84.622223000000005</v>
      </c>
      <c r="H307" s="3">
        <v>79</v>
      </c>
      <c r="I307" s="3">
        <v>84.622223000000005</v>
      </c>
      <c r="J307" s="3">
        <v>82.622223000000005</v>
      </c>
      <c r="K307" s="3">
        <v>0</v>
      </c>
      <c r="L307" s="3">
        <v>84.622223000000005</v>
      </c>
      <c r="M307" s="3">
        <v>84.622223000000005</v>
      </c>
      <c r="N307" s="3">
        <v>84</v>
      </c>
      <c r="O307" s="3">
        <v>0</v>
      </c>
      <c r="P307" s="3">
        <v>63</v>
      </c>
      <c r="Q307" s="3">
        <v>69.5</v>
      </c>
      <c r="R307" s="3">
        <v>80.88</v>
      </c>
    </row>
    <row r="308" spans="2:18" x14ac:dyDescent="0.25">
      <c r="B308" s="3" t="s">
        <v>281</v>
      </c>
      <c r="C308" s="3">
        <v>86.5625</v>
      </c>
      <c r="D308" s="3">
        <v>0</v>
      </c>
      <c r="E308" s="3">
        <v>73.0625</v>
      </c>
      <c r="F308" s="3">
        <v>0</v>
      </c>
      <c r="G308" s="3">
        <v>84.25</v>
      </c>
      <c r="H308" s="3">
        <v>83.5625</v>
      </c>
      <c r="I308" s="3">
        <v>85.0625</v>
      </c>
      <c r="J308" s="3">
        <v>85.5625</v>
      </c>
      <c r="K308" s="3">
        <v>54.5625</v>
      </c>
      <c r="L308" s="3">
        <v>85.5625</v>
      </c>
      <c r="M308" s="3">
        <v>85.5625</v>
      </c>
      <c r="N308" s="3">
        <v>84.0625</v>
      </c>
      <c r="O308" s="3">
        <v>54.5625</v>
      </c>
      <c r="P308" s="3">
        <v>79</v>
      </c>
      <c r="Q308" s="3">
        <v>75</v>
      </c>
      <c r="R308" s="3">
        <v>94.858222999999995</v>
      </c>
    </row>
    <row r="309" spans="2:18" x14ac:dyDescent="0.25">
      <c r="B309" s="3" t="s">
        <v>282</v>
      </c>
      <c r="C309" s="3">
        <v>84.160499999999999</v>
      </c>
      <c r="D309" s="3">
        <v>0</v>
      </c>
      <c r="E309" s="3">
        <v>61.611114999999998</v>
      </c>
      <c r="F309" s="3">
        <v>0</v>
      </c>
      <c r="G309" s="3">
        <v>74.111114999999998</v>
      </c>
      <c r="H309" s="3">
        <v>74.111114999999998</v>
      </c>
      <c r="I309" s="3">
        <v>80.660492000000005</v>
      </c>
      <c r="J309" s="3">
        <v>84.160492000000005</v>
      </c>
      <c r="K309" s="3">
        <v>34.160491999999998</v>
      </c>
      <c r="L309" s="3">
        <v>77.611114999999998</v>
      </c>
      <c r="M309" s="3">
        <v>77.141975000000002</v>
      </c>
      <c r="N309" s="3">
        <v>74.611114999999998</v>
      </c>
      <c r="O309" s="3">
        <v>34.160491999999998</v>
      </c>
      <c r="P309" s="3">
        <v>33.290123000000001</v>
      </c>
      <c r="Q309" s="3">
        <v>52.790123000000001</v>
      </c>
      <c r="R309" s="3">
        <v>84.622223000000005</v>
      </c>
    </row>
    <row r="310" spans="2:18" x14ac:dyDescent="0.25">
      <c r="B310" s="3" t="s">
        <v>283</v>
      </c>
      <c r="C310" s="3">
        <v>83.422399999999996</v>
      </c>
      <c r="D310" s="3">
        <v>0</v>
      </c>
      <c r="E310" s="3">
        <v>77.325485</v>
      </c>
      <c r="F310" s="3">
        <v>33.659278999999998</v>
      </c>
      <c r="G310" s="3">
        <v>83.422439999999995</v>
      </c>
      <c r="H310" s="3">
        <v>81.422439999999995</v>
      </c>
      <c r="I310" s="3">
        <v>81.922439999999995</v>
      </c>
      <c r="J310" s="3">
        <v>83.422439999999995</v>
      </c>
      <c r="K310" s="3">
        <v>15</v>
      </c>
      <c r="L310" s="3">
        <v>81.922439999999995</v>
      </c>
      <c r="M310" s="3">
        <v>83.422439999999995</v>
      </c>
      <c r="N310" s="3">
        <v>83.422439999999995</v>
      </c>
      <c r="O310" s="3">
        <v>22.480606000000002</v>
      </c>
      <c r="P310" s="3">
        <v>23.5</v>
      </c>
      <c r="Q310" s="3">
        <v>57</v>
      </c>
      <c r="R310" s="3">
        <v>86.5625</v>
      </c>
    </row>
    <row r="311" spans="2:18" x14ac:dyDescent="0.25">
      <c r="B311" s="3" t="s">
        <v>284</v>
      </c>
      <c r="C311" s="3">
        <v>93.836799999999997</v>
      </c>
      <c r="D311" s="3">
        <v>0</v>
      </c>
      <c r="E311" s="3">
        <v>70.347221000000005</v>
      </c>
      <c r="F311" s="3">
        <v>92.847221000000005</v>
      </c>
      <c r="G311" s="3">
        <v>92.847221000000005</v>
      </c>
      <c r="H311" s="3">
        <v>92.836806999999993</v>
      </c>
      <c r="I311" s="3">
        <v>92.847221000000005</v>
      </c>
      <c r="J311" s="3">
        <v>93.836806999999993</v>
      </c>
      <c r="K311" s="3">
        <v>35.888885000000002</v>
      </c>
      <c r="L311" s="3">
        <v>92.847221000000005</v>
      </c>
      <c r="M311" s="3">
        <v>93.836806999999993</v>
      </c>
      <c r="N311" s="3">
        <v>93.836806999999993</v>
      </c>
      <c r="O311" s="3">
        <v>47</v>
      </c>
      <c r="P311" s="3">
        <v>74.5</v>
      </c>
      <c r="Q311" s="3">
        <v>66</v>
      </c>
      <c r="R311" s="3">
        <v>84.160499999999999</v>
      </c>
    </row>
    <row r="312" spans="2:18" x14ac:dyDescent="0.25">
      <c r="B312" s="3" t="s">
        <v>285</v>
      </c>
      <c r="C312" s="3">
        <v>64.6327</v>
      </c>
      <c r="D312" s="3">
        <v>32.816299999999998</v>
      </c>
      <c r="E312" s="3">
        <v>43.954082</v>
      </c>
      <c r="F312" s="3">
        <v>63.923470000000002</v>
      </c>
      <c r="G312" s="3">
        <v>63.923470000000002</v>
      </c>
      <c r="H312" s="3">
        <v>61.030613000000002</v>
      </c>
      <c r="I312" s="3">
        <v>63.923470000000002</v>
      </c>
      <c r="J312" s="3">
        <v>62.923470000000002</v>
      </c>
      <c r="K312" s="3">
        <v>0</v>
      </c>
      <c r="L312" s="3">
        <v>63.923470000000002</v>
      </c>
      <c r="M312" s="3">
        <v>64.632651999999993</v>
      </c>
      <c r="N312" s="3">
        <v>63.632652</v>
      </c>
      <c r="O312" s="3">
        <v>0</v>
      </c>
      <c r="P312" s="3">
        <v>43</v>
      </c>
      <c r="Q312" s="3">
        <v>39</v>
      </c>
      <c r="R312" s="3">
        <v>83.422439999999995</v>
      </c>
    </row>
    <row r="313" spans="2:18" x14ac:dyDescent="0.25">
      <c r="B313" s="3" t="s">
        <v>286</v>
      </c>
      <c r="C313" s="3">
        <v>87</v>
      </c>
      <c r="D313" s="3">
        <v>65.25</v>
      </c>
      <c r="E313" s="3">
        <v>70.640625</v>
      </c>
      <c r="F313" s="3">
        <v>0</v>
      </c>
      <c r="G313" s="3">
        <v>86</v>
      </c>
      <c r="H313" s="3">
        <v>85</v>
      </c>
      <c r="I313" s="3">
        <v>87</v>
      </c>
      <c r="J313" s="3">
        <v>84.140625</v>
      </c>
      <c r="K313" s="3">
        <v>38.5</v>
      </c>
      <c r="L313" s="3">
        <v>87</v>
      </c>
      <c r="M313" s="3">
        <v>86</v>
      </c>
      <c r="N313" s="3">
        <v>86</v>
      </c>
      <c r="O313" s="3">
        <v>59.640625</v>
      </c>
      <c r="P313" s="3">
        <v>71</v>
      </c>
      <c r="Q313" s="3">
        <v>84</v>
      </c>
      <c r="R313" s="3">
        <v>93.836806999999993</v>
      </c>
    </row>
    <row r="314" spans="2:18" x14ac:dyDescent="0.25">
      <c r="B314" s="3" t="s">
        <v>287</v>
      </c>
      <c r="C314" s="3">
        <v>56.306100000000001</v>
      </c>
      <c r="D314" s="3">
        <v>39.3977</v>
      </c>
      <c r="E314" s="3">
        <v>48.813774000000002</v>
      </c>
      <c r="F314" s="3">
        <v>28.653061000000001</v>
      </c>
      <c r="G314" s="3">
        <v>55.813774000000002</v>
      </c>
      <c r="H314" s="3">
        <v>54.806122000000002</v>
      </c>
      <c r="I314" s="3">
        <v>56.306122000000002</v>
      </c>
      <c r="J314" s="3">
        <v>56.306122000000002</v>
      </c>
      <c r="K314" s="3">
        <v>31.306121999999998</v>
      </c>
      <c r="L314" s="3">
        <v>55.813774000000002</v>
      </c>
      <c r="M314" s="3">
        <v>56.306122000000002</v>
      </c>
      <c r="N314" s="3">
        <v>56.306122000000002</v>
      </c>
      <c r="O314" s="3">
        <v>31.306121999999998</v>
      </c>
      <c r="P314" s="3">
        <v>50.5</v>
      </c>
      <c r="Q314" s="3">
        <v>39.5</v>
      </c>
      <c r="R314" s="3">
        <v>64.6327</v>
      </c>
    </row>
    <row r="315" spans="2:18" x14ac:dyDescent="0.25">
      <c r="B315" s="3" t="s">
        <v>288</v>
      </c>
      <c r="C315" s="3">
        <v>25.656300000000002</v>
      </c>
      <c r="D315" s="3">
        <v>12.9063</v>
      </c>
      <c r="E315" s="3">
        <v>23.65625</v>
      </c>
      <c r="F315" s="3">
        <v>12.90625</v>
      </c>
      <c r="G315" s="3">
        <v>25.65625</v>
      </c>
      <c r="H315" s="3">
        <v>24.65625</v>
      </c>
      <c r="I315" s="3">
        <v>25.65625</v>
      </c>
      <c r="J315" s="3">
        <v>24.039062999999999</v>
      </c>
      <c r="K315" s="3">
        <v>0</v>
      </c>
      <c r="L315" s="3">
        <v>25.65625</v>
      </c>
      <c r="M315" s="3">
        <v>25.65625</v>
      </c>
      <c r="N315" s="3">
        <v>25.65625</v>
      </c>
      <c r="O315" s="3">
        <v>0</v>
      </c>
      <c r="P315" s="3">
        <v>10.5</v>
      </c>
      <c r="Q315" s="3">
        <v>9.5</v>
      </c>
      <c r="R315" s="3">
        <v>87</v>
      </c>
    </row>
    <row r="316" spans="2:18" x14ac:dyDescent="0.25">
      <c r="B316" s="3" t="s">
        <v>289</v>
      </c>
      <c r="C316" s="3">
        <v>25.73</v>
      </c>
      <c r="D316" s="3">
        <v>0</v>
      </c>
      <c r="E316" s="3">
        <v>23.92</v>
      </c>
      <c r="F316" s="3">
        <v>22.68</v>
      </c>
      <c r="G316" s="3">
        <v>24.73</v>
      </c>
      <c r="H316" s="3">
        <v>24</v>
      </c>
      <c r="I316" s="3">
        <v>25</v>
      </c>
      <c r="J316" s="3">
        <v>25.5</v>
      </c>
      <c r="K316" s="3">
        <v>0</v>
      </c>
      <c r="L316" s="3">
        <v>25</v>
      </c>
      <c r="M316" s="3">
        <v>25.73</v>
      </c>
      <c r="N316" s="3">
        <v>25.5</v>
      </c>
      <c r="O316" s="3">
        <v>0</v>
      </c>
      <c r="P316" s="3">
        <v>21.5</v>
      </c>
      <c r="Q316" s="3">
        <v>17</v>
      </c>
      <c r="R316" s="3">
        <v>56.306122000000002</v>
      </c>
    </row>
    <row r="317" spans="2:18" x14ac:dyDescent="0.25">
      <c r="B317" s="3" t="s">
        <v>290</v>
      </c>
      <c r="C317" s="3">
        <v>29.5078</v>
      </c>
      <c r="D317" s="3">
        <v>7.3827999999999996</v>
      </c>
      <c r="E317" s="3">
        <v>22.507812999999999</v>
      </c>
      <c r="F317" s="3">
        <v>13.78125</v>
      </c>
      <c r="G317" s="3">
        <v>29.007812999999999</v>
      </c>
      <c r="H317" s="3">
        <v>27.03125</v>
      </c>
      <c r="I317" s="3">
        <v>29.507812999999999</v>
      </c>
      <c r="J317" s="3">
        <v>29.507812999999999</v>
      </c>
      <c r="K317" s="3">
        <v>0</v>
      </c>
      <c r="L317" s="3">
        <v>29.507812999999999</v>
      </c>
      <c r="M317" s="3">
        <v>29.507812999999999</v>
      </c>
      <c r="N317" s="3">
        <v>29.507812999999999</v>
      </c>
      <c r="O317" s="3">
        <v>0</v>
      </c>
      <c r="P317" s="3">
        <v>2.5</v>
      </c>
      <c r="Q317" s="3">
        <v>21</v>
      </c>
      <c r="R317" s="3">
        <v>25.656300000000002</v>
      </c>
    </row>
    <row r="318" spans="2:18" x14ac:dyDescent="0.25">
      <c r="B318" s="3" t="s">
        <v>291</v>
      </c>
      <c r="C318" s="3">
        <v>28</v>
      </c>
      <c r="D318" s="3">
        <v>0</v>
      </c>
      <c r="E318" s="3">
        <v>28</v>
      </c>
      <c r="F318" s="3">
        <v>0</v>
      </c>
      <c r="G318" s="3">
        <v>28</v>
      </c>
      <c r="H318" s="3">
        <v>28</v>
      </c>
      <c r="I318" s="3">
        <v>28</v>
      </c>
      <c r="J318" s="3">
        <v>28</v>
      </c>
      <c r="K318" s="3">
        <v>0</v>
      </c>
      <c r="L318" s="3">
        <v>28</v>
      </c>
      <c r="M318" s="3">
        <v>28</v>
      </c>
      <c r="N318" s="3">
        <v>28</v>
      </c>
      <c r="O318" s="3">
        <v>0</v>
      </c>
      <c r="P318" s="3">
        <v>28</v>
      </c>
      <c r="Q318" s="3">
        <v>28</v>
      </c>
      <c r="R318" s="3">
        <v>25.73</v>
      </c>
    </row>
    <row r="319" spans="2:18" x14ac:dyDescent="0.25">
      <c r="B319" s="3" t="s">
        <v>292</v>
      </c>
      <c r="C319" s="3">
        <v>22</v>
      </c>
      <c r="D319" s="3">
        <v>7.2727000000000004</v>
      </c>
      <c r="E319" s="3">
        <v>15.363636</v>
      </c>
      <c r="F319" s="3">
        <v>19.090910000000001</v>
      </c>
      <c r="G319" s="3">
        <v>22</v>
      </c>
      <c r="H319" s="3">
        <v>22</v>
      </c>
      <c r="I319" s="3">
        <v>22</v>
      </c>
      <c r="J319" s="3">
        <v>22</v>
      </c>
      <c r="K319" s="3">
        <v>0</v>
      </c>
      <c r="L319" s="3">
        <v>22</v>
      </c>
      <c r="M319" s="3">
        <v>22</v>
      </c>
      <c r="N319" s="3">
        <v>22</v>
      </c>
      <c r="O319" s="3">
        <v>0</v>
      </c>
      <c r="P319" s="3">
        <v>14.5</v>
      </c>
      <c r="Q319" s="3">
        <v>22</v>
      </c>
      <c r="R319" s="3">
        <v>29.507812999999999</v>
      </c>
    </row>
    <row r="320" spans="2:18" x14ac:dyDescent="0.25">
      <c r="B320" s="3" t="s">
        <v>293</v>
      </c>
      <c r="C320" s="3">
        <v>15.1837</v>
      </c>
      <c r="D320" s="3">
        <v>0</v>
      </c>
      <c r="E320" s="3">
        <v>15.183674</v>
      </c>
      <c r="F320" s="3">
        <v>12.653060999999999</v>
      </c>
      <c r="G320" s="3">
        <v>15.183674</v>
      </c>
      <c r="H320" s="3">
        <v>14.5</v>
      </c>
      <c r="I320" s="3">
        <v>15.183674</v>
      </c>
      <c r="J320" s="3">
        <v>15.183674</v>
      </c>
      <c r="K320" s="3">
        <v>0</v>
      </c>
      <c r="L320" s="3">
        <v>15.183674</v>
      </c>
      <c r="M320" s="3">
        <v>15.183674</v>
      </c>
      <c r="N320" s="3">
        <v>15.183674</v>
      </c>
      <c r="O320" s="3">
        <v>0</v>
      </c>
      <c r="P320" s="3">
        <v>3.5</v>
      </c>
      <c r="Q320" s="3">
        <v>13</v>
      </c>
      <c r="R320" s="3">
        <v>28</v>
      </c>
    </row>
    <row r="321" spans="2:18" x14ac:dyDescent="0.25">
      <c r="B321" s="3" t="s">
        <v>294</v>
      </c>
      <c r="C321" s="3">
        <v>26.5</v>
      </c>
      <c r="D321" s="3">
        <v>0</v>
      </c>
      <c r="E321" s="3">
        <v>26.5</v>
      </c>
      <c r="F321" s="3">
        <v>26.5</v>
      </c>
      <c r="G321" s="3">
        <v>23.5</v>
      </c>
      <c r="H321" s="3">
        <v>26.5</v>
      </c>
      <c r="I321" s="3">
        <v>23.5</v>
      </c>
      <c r="J321" s="3">
        <v>26.5</v>
      </c>
      <c r="K321" s="3">
        <v>0</v>
      </c>
      <c r="L321" s="3">
        <v>25.5</v>
      </c>
      <c r="M321" s="3">
        <v>26.5</v>
      </c>
      <c r="N321" s="3">
        <v>26.280000999999999</v>
      </c>
      <c r="O321" s="3">
        <v>0</v>
      </c>
      <c r="P321" s="3">
        <v>11.5</v>
      </c>
      <c r="Q321" s="3">
        <v>10.5</v>
      </c>
      <c r="R321" s="3">
        <v>22</v>
      </c>
    </row>
    <row r="322" spans="2:18" x14ac:dyDescent="0.25">
      <c r="B322" s="3" t="s">
        <v>295</v>
      </c>
      <c r="C322" s="3">
        <v>245.7244</v>
      </c>
      <c r="D322" s="3">
        <v>0</v>
      </c>
      <c r="E322" s="3">
        <v>257.23605300000003</v>
      </c>
      <c r="F322" s="3">
        <v>0</v>
      </c>
      <c r="G322" s="3">
        <v>295.444458</v>
      </c>
      <c r="H322" s="3">
        <v>294.72445699999997</v>
      </c>
      <c r="I322" s="3">
        <v>298.22445699999997</v>
      </c>
      <c r="J322" s="3">
        <v>301.444458</v>
      </c>
      <c r="K322" s="3">
        <v>245.224457</v>
      </c>
      <c r="L322" s="3">
        <v>300.28790300000003</v>
      </c>
      <c r="M322" s="3">
        <v>299.944458</v>
      </c>
      <c r="N322" s="3">
        <v>295.73605300000003</v>
      </c>
      <c r="O322" s="3">
        <v>257.75308200000001</v>
      </c>
      <c r="P322" s="3">
        <v>183.357788</v>
      </c>
      <c r="Q322" s="3">
        <v>258.32195999999999</v>
      </c>
      <c r="R322" s="3">
        <v>15.1837</v>
      </c>
    </row>
    <row r="323" spans="2:18" x14ac:dyDescent="0.25">
      <c r="B323" s="3" t="s">
        <v>296</v>
      </c>
      <c r="C323" s="3">
        <v>257.05</v>
      </c>
      <c r="D323" s="3">
        <v>0</v>
      </c>
      <c r="E323" s="3">
        <v>269.27777099999997</v>
      </c>
      <c r="F323" s="3">
        <v>161.84089700000001</v>
      </c>
      <c r="G323" s="3">
        <v>304.22189300000002</v>
      </c>
      <c r="H323" s="3">
        <v>294.22189300000002</v>
      </c>
      <c r="I323" s="3">
        <v>313.22189300000002</v>
      </c>
      <c r="J323" s="3">
        <v>312.72189300000002</v>
      </c>
      <c r="K323" s="3">
        <v>263.26791400000002</v>
      </c>
      <c r="L323" s="3">
        <v>298.26791400000002</v>
      </c>
      <c r="M323" s="3">
        <v>295.22189300000002</v>
      </c>
      <c r="N323" s="3">
        <v>298.22189300000002</v>
      </c>
      <c r="O323" s="3">
        <v>260.72189300000002</v>
      </c>
      <c r="P323" s="3">
        <v>168.5</v>
      </c>
      <c r="Q323" s="3">
        <v>262.858002</v>
      </c>
      <c r="R323" s="3">
        <v>26.5</v>
      </c>
    </row>
    <row r="324" spans="2:18" x14ac:dyDescent="0.25">
      <c r="B324" s="3" t="s">
        <v>297</v>
      </c>
      <c r="C324" s="3">
        <v>0</v>
      </c>
      <c r="D324" s="3">
        <v>0</v>
      </c>
      <c r="E324" s="3">
        <v>219.68225100000001</v>
      </c>
      <c r="F324" s="3">
        <v>136.966431</v>
      </c>
      <c r="G324" s="3">
        <v>301.74279799999999</v>
      </c>
      <c r="H324" s="3">
        <v>294.25976600000001</v>
      </c>
      <c r="I324" s="3">
        <v>310.29541</v>
      </c>
      <c r="J324" s="3">
        <v>321.29541</v>
      </c>
      <c r="K324" s="3">
        <v>281.44103999999999</v>
      </c>
      <c r="L324" s="3">
        <v>312.29541</v>
      </c>
      <c r="M324" s="3">
        <v>304.24279799999999</v>
      </c>
      <c r="N324" s="3">
        <v>298.25976600000001</v>
      </c>
      <c r="O324" s="3">
        <v>281.896118</v>
      </c>
      <c r="P324" s="3">
        <v>216.84826699999999</v>
      </c>
      <c r="Q324" s="3">
        <v>251.893066</v>
      </c>
      <c r="R324" s="3">
        <v>301.444458</v>
      </c>
    </row>
    <row r="325" spans="2:18" x14ac:dyDescent="0.25">
      <c r="B325" s="3" t="s">
        <v>348</v>
      </c>
      <c r="C325" s="3">
        <v>0</v>
      </c>
      <c r="D325" s="3">
        <v>0</v>
      </c>
      <c r="E325" s="3">
        <v>214.045074</v>
      </c>
      <c r="F325" s="3">
        <v>223.27551299999999</v>
      </c>
      <c r="G325" s="3">
        <v>282.19387799999998</v>
      </c>
      <c r="H325" s="3">
        <v>273.19387799999998</v>
      </c>
      <c r="I325" s="3">
        <v>280.19387799999998</v>
      </c>
      <c r="J325" s="3">
        <v>288.69387799999998</v>
      </c>
      <c r="K325" s="3">
        <v>226.19387800000001</v>
      </c>
      <c r="L325" s="3">
        <v>281.19387799999998</v>
      </c>
      <c r="M325" s="3">
        <v>265.83419800000001</v>
      </c>
      <c r="N325" s="3">
        <v>270.83419800000001</v>
      </c>
      <c r="O325" s="3">
        <v>232.953217</v>
      </c>
      <c r="P325" s="3">
        <v>127.24148599999999</v>
      </c>
      <c r="Q325" s="3">
        <v>261.36395299999998</v>
      </c>
      <c r="R325" s="3">
        <v>313.22189300000002</v>
      </c>
    </row>
    <row r="326" spans="2:18" x14ac:dyDescent="0.25">
      <c r="B326" s="3" t="s">
        <v>298</v>
      </c>
      <c r="C326" s="3">
        <v>246.9246</v>
      </c>
      <c r="D326" s="3">
        <v>0</v>
      </c>
      <c r="E326" s="3">
        <v>206.19824199999999</v>
      </c>
      <c r="F326" s="3">
        <v>142.021332</v>
      </c>
      <c r="G326" s="3">
        <v>275.12017800000001</v>
      </c>
      <c r="H326" s="3">
        <v>266.36471599999999</v>
      </c>
      <c r="I326" s="3">
        <v>278.11132800000001</v>
      </c>
      <c r="J326" s="3">
        <v>287.12017800000001</v>
      </c>
      <c r="K326" s="3">
        <v>232.391266</v>
      </c>
      <c r="L326" s="3">
        <v>280.61132800000001</v>
      </c>
      <c r="M326" s="3">
        <v>264.61132800000001</v>
      </c>
      <c r="N326" s="3">
        <v>268.86471599999999</v>
      </c>
      <c r="O326" s="3">
        <v>222.92456100000001</v>
      </c>
      <c r="P326" s="3">
        <v>153</v>
      </c>
      <c r="Q326" s="3">
        <v>239.68002300000001</v>
      </c>
      <c r="R326" s="3">
        <v>321.29541</v>
      </c>
    </row>
    <row r="327" spans="2:18" x14ac:dyDescent="0.25">
      <c r="B327" s="3" t="s">
        <v>299</v>
      </c>
      <c r="C327" s="3">
        <v>128.25980000000001</v>
      </c>
      <c r="D327" s="3">
        <v>10.920400000000001</v>
      </c>
      <c r="E327" s="3">
        <v>129.205566</v>
      </c>
      <c r="F327" s="3">
        <v>77.65625</v>
      </c>
      <c r="G327" s="3">
        <v>145.66601600000001</v>
      </c>
      <c r="H327" s="3">
        <v>148.006348</v>
      </c>
      <c r="I327" s="3">
        <v>150.40625</v>
      </c>
      <c r="J327" s="3">
        <v>147.459473</v>
      </c>
      <c r="K327" s="3">
        <v>115.439941</v>
      </c>
      <c r="L327" s="3">
        <v>151.40625</v>
      </c>
      <c r="M327" s="3">
        <v>148.40625</v>
      </c>
      <c r="N327" s="3">
        <v>148.459473</v>
      </c>
      <c r="O327" s="3">
        <v>116.006348</v>
      </c>
      <c r="P327" s="3">
        <v>79.5</v>
      </c>
      <c r="Q327" s="3">
        <v>113</v>
      </c>
      <c r="R327" s="3">
        <v>288.69387799999998</v>
      </c>
    </row>
    <row r="328" spans="2:18" x14ac:dyDescent="0.25">
      <c r="B328" s="3" t="s">
        <v>300</v>
      </c>
      <c r="C328" s="3">
        <v>247.54169999999999</v>
      </c>
      <c r="D328" s="3">
        <v>0</v>
      </c>
      <c r="E328" s="3">
        <v>206.26042200000001</v>
      </c>
      <c r="F328" s="3">
        <v>142.75260900000001</v>
      </c>
      <c r="G328" s="3">
        <v>256.06509399999999</v>
      </c>
      <c r="H328" s="3">
        <v>250.04165599999999</v>
      </c>
      <c r="I328" s="3">
        <v>253.06509399999999</v>
      </c>
      <c r="J328" s="3">
        <v>258.04165599999999</v>
      </c>
      <c r="K328" s="3">
        <v>213.023438</v>
      </c>
      <c r="L328" s="3">
        <v>250.59375</v>
      </c>
      <c r="M328" s="3">
        <v>245.56509399999999</v>
      </c>
      <c r="N328" s="3">
        <v>248.09375</v>
      </c>
      <c r="O328" s="3">
        <v>216.54165599999999</v>
      </c>
      <c r="P328" s="3">
        <v>174</v>
      </c>
      <c r="Q328" s="3">
        <v>223.5</v>
      </c>
      <c r="R328" s="3">
        <v>287.12017800000001</v>
      </c>
    </row>
    <row r="329" spans="2:18" x14ac:dyDescent="0.25">
      <c r="B329" s="3" t="s">
        <v>301</v>
      </c>
      <c r="C329" s="3">
        <v>23.53</v>
      </c>
      <c r="D329" s="3">
        <v>0</v>
      </c>
      <c r="E329" s="3">
        <v>207.92157</v>
      </c>
      <c r="F329" s="3">
        <v>161.160629</v>
      </c>
      <c r="G329" s="3">
        <v>246.79016100000001</v>
      </c>
      <c r="H329" s="3">
        <v>244.92157</v>
      </c>
      <c r="I329" s="3">
        <v>255.045715</v>
      </c>
      <c r="J329" s="3">
        <v>253.29016100000001</v>
      </c>
      <c r="K329" s="3">
        <v>221.80017100000001</v>
      </c>
      <c r="L329" s="3">
        <v>251.80017100000001</v>
      </c>
      <c r="M329" s="3">
        <v>239.52569600000001</v>
      </c>
      <c r="N329" s="3">
        <v>241.545715</v>
      </c>
      <c r="O329" s="3">
        <v>222.79016100000001</v>
      </c>
      <c r="P329" s="3">
        <v>156.78286700000001</v>
      </c>
      <c r="Q329" s="3">
        <v>223.45159899999999</v>
      </c>
      <c r="R329" s="3">
        <v>151.40625</v>
      </c>
    </row>
    <row r="330" spans="2:18" x14ac:dyDescent="0.25">
      <c r="B330" s="3" t="s">
        <v>302</v>
      </c>
      <c r="C330" s="3">
        <v>0</v>
      </c>
      <c r="D330" s="3">
        <v>15.833500000000001</v>
      </c>
      <c r="E330" s="3">
        <v>303.87927200000001</v>
      </c>
      <c r="F330" s="3">
        <v>131.847229</v>
      </c>
      <c r="G330" s="3">
        <v>324.809326</v>
      </c>
      <c r="H330" s="3">
        <v>315.37927200000001</v>
      </c>
      <c r="I330" s="3">
        <v>327.37927200000001</v>
      </c>
      <c r="J330" s="3">
        <v>329.742279</v>
      </c>
      <c r="K330" s="3">
        <v>291.23474099999999</v>
      </c>
      <c r="L330" s="3">
        <v>330.242279</v>
      </c>
      <c r="M330" s="3">
        <v>326.809326</v>
      </c>
      <c r="N330" s="3">
        <v>322.242279</v>
      </c>
      <c r="O330" s="3">
        <v>285.61798099999999</v>
      </c>
      <c r="P330" s="3">
        <v>192.632385</v>
      </c>
      <c r="Q330" s="3">
        <v>298.61798099999999</v>
      </c>
      <c r="R330" s="3">
        <v>258.04165599999999</v>
      </c>
    </row>
    <row r="331" spans="2:18" x14ac:dyDescent="0.25">
      <c r="B331" s="3" t="s">
        <v>349</v>
      </c>
      <c r="C331" s="3">
        <v>0</v>
      </c>
      <c r="D331" s="3">
        <v>0</v>
      </c>
      <c r="E331" s="3">
        <v>248.003906</v>
      </c>
      <c r="F331" s="3">
        <v>227.0625</v>
      </c>
      <c r="G331" s="3">
        <v>282.640625</v>
      </c>
      <c r="H331" s="3">
        <v>275.00390599999997</v>
      </c>
      <c r="I331" s="3">
        <v>289.72265599999997</v>
      </c>
      <c r="J331" s="3">
        <v>287.97265599999997</v>
      </c>
      <c r="K331" s="3">
        <v>256</v>
      </c>
      <c r="L331" s="3">
        <v>282.5</v>
      </c>
      <c r="M331" s="3">
        <v>288</v>
      </c>
      <c r="N331" s="3">
        <v>283</v>
      </c>
      <c r="O331" s="3">
        <v>261.140625</v>
      </c>
      <c r="P331" s="3">
        <v>198.515625</v>
      </c>
      <c r="Q331" s="3">
        <v>254.660156</v>
      </c>
      <c r="R331" s="3">
        <v>255.045715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O292"/>
  <sheetViews>
    <sheetView workbookViewId="0">
      <selection activeCell="B16" sqref="B16"/>
    </sheetView>
  </sheetViews>
  <sheetFormatPr baseColWidth="10" defaultRowHeight="15" x14ac:dyDescent="0.25"/>
  <cols>
    <col min="2" max="2" width="15.140625" customWidth="1"/>
    <col min="3" max="3" width="12" bestFit="1" customWidth="1"/>
    <col min="14" max="14" width="6.85546875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</row>
    <row r="3" spans="2:15" x14ac:dyDescent="0.25">
      <c r="B3" t="s">
        <v>13</v>
      </c>
      <c r="C3" s="1">
        <f>(Gewinne!$O3-Gewinne!C3)/Gewinne!$O3</f>
        <v>-0.99235492829001204</v>
      </c>
      <c r="D3" s="1">
        <f>(Gewinne!$O3-Gewinne!D3)/Gewinne!$O3</f>
        <v>1</v>
      </c>
      <c r="E3" s="1">
        <f>(Gewinne!$O3-Gewinne!E3)/Gewinne!$O3</f>
        <v>-0.7227287671992324</v>
      </c>
      <c r="F3" s="1">
        <f>(Gewinne!$O3-Gewinne!F3)/Gewinne!$O3</f>
        <v>-0.85893862082699957</v>
      </c>
      <c r="G3" s="1">
        <f>(Gewinne!$O3-Gewinne!G3)/Gewinne!$O3</f>
        <v>-0.99235524253583896</v>
      </c>
      <c r="H3" s="1">
        <f>(Gewinne!$O3-Gewinne!H3)/Gewinne!$O3</f>
        <v>-0.9013893453033871</v>
      </c>
      <c r="I3" s="1">
        <f>(Gewinne!$O3-Gewinne!I3)/Gewinne!$O3</f>
        <v>-0.99235524253583896</v>
      </c>
      <c r="J3" s="1">
        <f>(Gewinne!$O3-Gewinne!J3)/Gewinne!$O3</f>
        <v>-0.99235524253583896</v>
      </c>
      <c r="K3" s="1">
        <f>(Gewinne!$O3-Gewinne!K3)/Gewinne!$O3</f>
        <v>0</v>
      </c>
      <c r="L3" s="1">
        <f>(Gewinne!$O3-Gewinne!L3)/Gewinne!$O3</f>
        <v>-0.99235524253583896</v>
      </c>
      <c r="M3" s="1">
        <f>(Gewinne!$O3-Gewinne!M3)/Gewinne!$O3</f>
        <v>-0.99235524253583896</v>
      </c>
      <c r="N3" s="1">
        <f>(Gewinne!$O3-Gewinne!N3)/Gewinne!$O3</f>
        <v>-0.99235524253583896</v>
      </c>
      <c r="O3" s="1"/>
    </row>
    <row r="4" spans="2:15" x14ac:dyDescent="0.25">
      <c r="B4" t="s">
        <v>14</v>
      </c>
      <c r="C4" s="1">
        <f>(Gewinne!$O4-Gewinne!C4)/Gewinne!$O4</f>
        <v>-0.83945962182725475</v>
      </c>
      <c r="D4" s="1">
        <f>(Gewinne!$O4-Gewinne!D4)/Gewinne!$O4</f>
        <v>1</v>
      </c>
      <c r="E4" s="1">
        <f>(Gewinne!$O4-Gewinne!E4)/Gewinne!$O4</f>
        <v>-0.45362084065535579</v>
      </c>
      <c r="F4" s="1">
        <f>(Gewinne!$O4-Gewinne!F4)/Gewinne!$O4</f>
        <v>0.19871259277002426</v>
      </c>
      <c r="G4" s="1">
        <f>(Gewinne!$O4-Gewinne!G4)/Gewinne!$O4</f>
        <v>-0.78210489768164804</v>
      </c>
      <c r="H4" s="1">
        <f>(Gewinne!$O4-Gewinne!H4)/Gewinne!$O4</f>
        <v>-0.66218214670379527</v>
      </c>
      <c r="I4" s="1">
        <f>(Gewinne!$O4-Gewinne!I4)/Gewinne!$O4</f>
        <v>-0.68818786451628122</v>
      </c>
      <c r="J4" s="1">
        <f>(Gewinne!$O4-Gewinne!J4)/Gewinne!$O4</f>
        <v>-0.71947206042354717</v>
      </c>
      <c r="K4" s="1">
        <f>(Gewinne!$O4-Gewinne!K4)/Gewinne!$O4</f>
        <v>4.1712261209687899E-2</v>
      </c>
      <c r="L4" s="1">
        <f>(Gewinne!$O4-Gewinne!L4)/Gewinne!$O4</f>
        <v>-0.79774699563528095</v>
      </c>
      <c r="M4" s="1">
        <f>(Gewinne!$O4-Gewinne!M4)/Gewinne!$O4</f>
        <v>-0.75815898346802302</v>
      </c>
      <c r="N4" s="1">
        <f>(Gewinne!$O4-Gewinne!N4)/Gewinne!$O4</f>
        <v>-0.6673317339114373</v>
      </c>
      <c r="O4" s="1"/>
    </row>
    <row r="5" spans="2:15" x14ac:dyDescent="0.25">
      <c r="B5" t="s">
        <v>15</v>
      </c>
      <c r="C5" s="1">
        <f>(Gewinne!$O5-Gewinne!C5)/Gewinne!$O5</f>
        <v>-0.84803851851851841</v>
      </c>
      <c r="D5" s="1">
        <f>(Gewinne!$O5-Gewinne!D5)/Gewinne!$O5</f>
        <v>0.71948296296296299</v>
      </c>
      <c r="E5" s="1">
        <f>(Gewinne!$O5-Gewinne!E5)/Gewinne!$O5</f>
        <v>-0.59531013333333338</v>
      </c>
      <c r="F5" s="1">
        <f>(Gewinne!$O5-Gewinne!F5)/Gewinne!$O5</f>
        <v>-0.61577905185185178</v>
      </c>
      <c r="G5" s="1">
        <f>(Gewinne!$O5-Gewinne!G5)/Gewinne!$O5</f>
        <v>-0.84444444444444444</v>
      </c>
      <c r="H5" s="1">
        <f>(Gewinne!$O5-Gewinne!H5)/Gewinne!$O5</f>
        <v>-0.70642124444444454</v>
      </c>
      <c r="I5" s="1">
        <f>(Gewinne!$O5-Gewinne!I5)/Gewinne!$O5</f>
        <v>-0.84444444444444444</v>
      </c>
      <c r="J5" s="1">
        <f>(Gewinne!$O5-Gewinne!J5)/Gewinne!$O5</f>
        <v>-0.84444444444444444</v>
      </c>
      <c r="K5" s="1">
        <f>(Gewinne!$O5-Gewinne!K5)/Gewinne!$O5</f>
        <v>0</v>
      </c>
      <c r="L5" s="1">
        <f>(Gewinne!$O5-Gewinne!L5)/Gewinne!$O5</f>
        <v>-0.82919130370370364</v>
      </c>
      <c r="M5" s="1">
        <f>(Gewinne!$O5-Gewinne!M5)/Gewinne!$O5</f>
        <v>-0.84444444444444444</v>
      </c>
      <c r="N5" s="1">
        <f>(Gewinne!$O5-Gewinne!N5)/Gewinne!$O5</f>
        <v>-0.84444444444444444</v>
      </c>
      <c r="O5" s="1"/>
    </row>
    <row r="6" spans="2:15" x14ac:dyDescent="0.25">
      <c r="B6" t="s">
        <v>16</v>
      </c>
      <c r="C6" s="1">
        <f>(Gewinne!$O6-Gewinne!C6)/Gewinne!$O6</f>
        <v>-1.4585992656216555</v>
      </c>
      <c r="D6" s="1">
        <f>(Gewinne!$O6-Gewinne!D6)/Gewinne!$O6</f>
        <v>1</v>
      </c>
      <c r="E6" s="1">
        <f>(Gewinne!$O6-Gewinne!E6)/Gewinne!$O6</f>
        <v>-1.1859480172660637</v>
      </c>
      <c r="F6" s="1">
        <f>(Gewinne!$O6-Gewinne!F6)/Gewinne!$O6</f>
        <v>-1.2829499279219994</v>
      </c>
      <c r="G6" s="1">
        <f>(Gewinne!$O6-Gewinne!G6)/Gewinne!$O6</f>
        <v>-1.4343493194749901</v>
      </c>
      <c r="H6" s="1">
        <f>(Gewinne!$O6-Gewinne!H6)/Gewinne!$O6</f>
        <v>-1.3500539894031605</v>
      </c>
      <c r="I6" s="1">
        <f>(Gewinne!$O6-Gewinne!I6)/Gewinne!$O6</f>
        <v>-1.4988788386287057</v>
      </c>
      <c r="J6" s="1">
        <f>(Gewinne!$O6-Gewinne!J6)/Gewinne!$O6</f>
        <v>-1.4343493194749901</v>
      </c>
      <c r="K6" s="1">
        <f>(Gewinne!$O6-Gewinne!K6)/Gewinne!$O6</f>
        <v>0.10705090464672852</v>
      </c>
      <c r="L6" s="1">
        <f>(Gewinne!$O6-Gewinne!L6)/Gewinne!$O6</f>
        <v>-1.5201395313752122</v>
      </c>
      <c r="M6" s="1">
        <f>(Gewinne!$O6-Gewinne!M6)/Gewinne!$O6</f>
        <v>-1.4904908362587337</v>
      </c>
      <c r="N6" s="1">
        <f>(Gewinne!$O6-Gewinne!N6)/Gewinne!$O6</f>
        <v>-1.4904908362587337</v>
      </c>
      <c r="O6" s="1"/>
    </row>
    <row r="7" spans="2:15" x14ac:dyDescent="0.25">
      <c r="B7" t="s">
        <v>17</v>
      </c>
      <c r="C7" s="1">
        <f>(Gewinne!$O7-Gewinne!C7)/Gewinne!$O7</f>
        <v>-1.4427753266445686</v>
      </c>
      <c r="D7" s="1">
        <f>(Gewinne!$O7-Gewinne!D7)/Gewinne!$O7</f>
        <v>0.49862359295138531</v>
      </c>
      <c r="E7" s="1">
        <f>(Gewinne!$O7-Gewinne!E7)/Gewinne!$O7</f>
        <v>-0.92198412366388649</v>
      </c>
      <c r="F7" s="1">
        <f>(Gewinne!$O7-Gewinne!F7)/Gewinne!$O7</f>
        <v>-0.94979859833058633</v>
      </c>
      <c r="G7" s="1">
        <f>(Gewinne!$O7-Gewinne!G7)/Gewinne!$O7</f>
        <v>-1.4283690798102877</v>
      </c>
      <c r="H7" s="1">
        <f>(Gewinne!$O7-Gewinne!H7)/Gewinne!$O7</f>
        <v>-1.2943852953213106</v>
      </c>
      <c r="I7" s="1">
        <f>(Gewinne!$O7-Gewinne!I7)/Gewinne!$O7</f>
        <v>-1.4211660788441636</v>
      </c>
      <c r="J7" s="1">
        <f>(Gewinne!$O7-Gewinne!J7)/Gewinne!$O7</f>
        <v>-1.4283690798102877</v>
      </c>
      <c r="K7" s="1">
        <f>(Gewinne!$O7-Gewinne!K7)/Gewinne!$O7</f>
        <v>0</v>
      </c>
      <c r="L7" s="1">
        <f>(Gewinne!$O7-Gewinne!L7)/Gewinne!$O7</f>
        <v>-1.4283690798102877</v>
      </c>
      <c r="M7" s="1">
        <f>(Gewinne!$O7-Gewinne!M7)/Gewinne!$O7</f>
        <v>-1.4211660788441636</v>
      </c>
      <c r="N7" s="1">
        <f>(Gewinne!$O7-Gewinne!N7)/Gewinne!$O7</f>
        <v>-1.3647391954697388</v>
      </c>
      <c r="O7" s="1"/>
    </row>
    <row r="8" spans="2:15" x14ac:dyDescent="0.25">
      <c r="B8" t="s">
        <v>18</v>
      </c>
      <c r="C8" s="1">
        <f>(Gewinne!$O8-Gewinne!C8)/Gewinne!$O8</f>
        <v>-1.3595505617977528</v>
      </c>
      <c r="D8" s="1">
        <f>(Gewinne!$O8-Gewinne!D8)/Gewinne!$O8</f>
        <v>1</v>
      </c>
      <c r="E8" s="1">
        <f>(Gewinne!$O8-Gewinne!E8)/Gewinne!$O8</f>
        <v>-0.94569294382022473</v>
      </c>
      <c r="F8" s="1">
        <f>(Gewinne!$O8-Gewinne!F8)/Gewinne!$O8</f>
        <v>-1.2940075505617978</v>
      </c>
      <c r="G8" s="1">
        <f>(Gewinne!$O8-Gewinne!G8)/Gewinne!$O8</f>
        <v>-1.3258426966292134</v>
      </c>
      <c r="H8" s="1">
        <f>(Gewinne!$O8-Gewinne!H8)/Gewinne!$O8</f>
        <v>-1.1685393258426966</v>
      </c>
      <c r="I8" s="1">
        <f>(Gewinne!$O8-Gewinne!I8)/Gewinne!$O8</f>
        <v>-1.348314606741573</v>
      </c>
      <c r="J8" s="1">
        <f>(Gewinne!$O8-Gewinne!J8)/Gewinne!$O8</f>
        <v>-1.2921348314606742</v>
      </c>
      <c r="K8" s="1">
        <f>(Gewinne!$O8-Gewinne!K8)/Gewinne!$O8</f>
        <v>0.12359550561797752</v>
      </c>
      <c r="L8" s="1">
        <f>(Gewinne!$O8-Gewinne!L8)/Gewinne!$O8</f>
        <v>-1.3595505617977528</v>
      </c>
      <c r="M8" s="1">
        <f>(Gewinne!$O8-Gewinne!M8)/Gewinne!$O8</f>
        <v>-1.348314606741573</v>
      </c>
      <c r="N8" s="1">
        <f>(Gewinne!$O8-Gewinne!N8)/Gewinne!$O8</f>
        <v>-1.348314606741573</v>
      </c>
      <c r="O8" s="1"/>
    </row>
    <row r="9" spans="2:15" x14ac:dyDescent="0.25">
      <c r="B9" t="s">
        <v>19</v>
      </c>
      <c r="C9" s="1">
        <f>(Gewinne!$O9-Gewinne!C9)/Gewinne!$O9</f>
        <v>-0.82648579986609616</v>
      </c>
      <c r="D9" s="1">
        <f>(Gewinne!$O9-Gewinne!D9)/Gewinne!$O9</f>
        <v>1</v>
      </c>
      <c r="E9" s="1">
        <f>(Gewinne!$O9-Gewinne!E9)/Gewinne!$O9</f>
        <v>-0.39689775565351587</v>
      </c>
      <c r="F9" s="1">
        <f>(Gewinne!$O9-Gewinne!F9)/Gewinne!$O9</f>
        <v>-0.53177296366662052</v>
      </c>
      <c r="G9" s="1">
        <f>(Gewinne!$O9-Gewinne!G9)/Gewinne!$O9</f>
        <v>-0.75921492655232115</v>
      </c>
      <c r="H9" s="1">
        <f>(Gewinne!$O9-Gewinne!H9)/Gewinne!$O9</f>
        <v>-0.63812747567497752</v>
      </c>
      <c r="I9" s="1">
        <f>(Gewinne!$O9-Gewinne!I9)/Gewinne!$O9</f>
        <v>-0.81975865199099307</v>
      </c>
      <c r="J9" s="1">
        <f>(Gewinne!$O9-Gewinne!J9)/Gewinne!$O9</f>
        <v>-0.78612324896950858</v>
      </c>
      <c r="K9" s="1">
        <f>(Gewinne!$O9-Gewinne!K9)/Gewinne!$O9</f>
        <v>2.7853504150413599E-2</v>
      </c>
      <c r="L9" s="1">
        <f>(Gewinne!$O9-Gewinne!L9)/Gewinne!$O9</f>
        <v>-0.79957741017810235</v>
      </c>
      <c r="M9" s="1">
        <f>(Gewinne!$O9-Gewinne!M9)/Gewinne!$O9</f>
        <v>-0.76594200715661798</v>
      </c>
      <c r="N9" s="1">
        <f>(Gewinne!$O9-Gewinne!N9)/Gewinne!$O9</f>
        <v>-0.81975865199099307</v>
      </c>
      <c r="O9" s="1"/>
    </row>
    <row r="10" spans="2:15" x14ac:dyDescent="0.25">
      <c r="B10" t="s">
        <v>20</v>
      </c>
      <c r="C10" s="1">
        <f>(Gewinne!$O10-Gewinne!C10)/Gewinne!$O10</f>
        <v>-0.69979310344827583</v>
      </c>
      <c r="D10" s="1">
        <f>(Gewinne!$O10-Gewinne!D10)/Gewinne!$O10</f>
        <v>1</v>
      </c>
      <c r="E10" s="1">
        <f>(Gewinne!$O10-Gewinne!E10)/Gewinne!$O10</f>
        <v>-0.61296554482758625</v>
      </c>
      <c r="F10" s="1">
        <f>(Gewinne!$O10-Gewinne!F10)/Gewinne!$O10</f>
        <v>-0.58779307586206897</v>
      </c>
      <c r="G10" s="1">
        <f>(Gewinne!$O10-Gewinne!G10)/Gewinne!$O10</f>
        <v>-0.67503451034482764</v>
      </c>
      <c r="H10" s="1">
        <f>(Gewinne!$O10-Gewinne!H10)/Gewinne!$O10</f>
        <v>-0.67220691034482749</v>
      </c>
      <c r="I10" s="1">
        <f>(Gewinne!$O10-Gewinne!I10)/Gewinne!$O10</f>
        <v>-0.67503451034482764</v>
      </c>
      <c r="J10" s="1">
        <f>(Gewinne!$O10-Gewinne!J10)/Gewinne!$O10</f>
        <v>-0.69289656551724133</v>
      </c>
      <c r="K10" s="1">
        <f>(Gewinne!$O10-Gewinne!K10)/Gewinne!$O10</f>
        <v>0.4</v>
      </c>
      <c r="L10" s="1">
        <f>(Gewinne!$O10-Gewinne!L10)/Gewinne!$O10</f>
        <v>-0.67503451034482764</v>
      </c>
      <c r="M10" s="1">
        <f>(Gewinne!$O10-Gewinne!M10)/Gewinne!$O10</f>
        <v>-0.69979311724137927</v>
      </c>
      <c r="N10" s="1">
        <f>(Gewinne!$O10-Gewinne!N10)/Gewinne!$O10</f>
        <v>-0.69979311724137927</v>
      </c>
      <c r="O10" s="1"/>
    </row>
    <row r="11" spans="2:15" x14ac:dyDescent="0.25">
      <c r="B11" t="s">
        <v>21</v>
      </c>
      <c r="C11" s="1">
        <f>(Gewinne!$O11-Gewinne!C11)/Gewinne!$O11</f>
        <v>-0.84930980392156841</v>
      </c>
      <c r="D11" s="1">
        <f>(Gewinne!$O11-Gewinne!D11)/Gewinne!$O11</f>
        <v>1</v>
      </c>
      <c r="E11" s="1">
        <f>(Gewinne!$O11-Gewinne!E11)/Gewinne!$O11</f>
        <v>-0.67828607843137234</v>
      </c>
      <c r="F11" s="1">
        <f>(Gewinne!$O11-Gewinne!F11)/Gewinne!$O11</f>
        <v>0.69099491503267974</v>
      </c>
      <c r="G11" s="1">
        <f>(Gewinne!$O11-Gewinne!G11)/Gewinne!$O11</f>
        <v>-0.76325339869281028</v>
      </c>
      <c r="H11" s="1">
        <f>(Gewinne!$O11-Gewinne!H11)/Gewinne!$O11</f>
        <v>-0.6797385620915033</v>
      </c>
      <c r="I11" s="1">
        <f>(Gewinne!$O11-Gewinne!I11)/Gewinne!$O11</f>
        <v>-0.76978934640522856</v>
      </c>
      <c r="J11" s="1">
        <f>(Gewinne!$O11-Gewinne!J11)/Gewinne!$O11</f>
        <v>-0.80355854901960777</v>
      </c>
      <c r="K11" s="1">
        <f>(Gewinne!$O11-Gewinne!K11)/Gewinne!$O11</f>
        <v>0.11764705882352941</v>
      </c>
      <c r="L11" s="1">
        <f>(Gewinne!$O11-Gewinne!L11)/Gewinne!$O11</f>
        <v>-0.85584613071895421</v>
      </c>
      <c r="M11" s="1">
        <f>(Gewinne!$O11-Gewinne!M11)/Gewinne!$O11</f>
        <v>-0.83623828758169938</v>
      </c>
      <c r="N11" s="1">
        <f>(Gewinne!$O11-Gewinne!N11)/Gewinne!$O11</f>
        <v>-0.83623828758169938</v>
      </c>
      <c r="O11" s="1"/>
    </row>
    <row r="12" spans="2:15" x14ac:dyDescent="0.25">
      <c r="B12" t="s">
        <v>22</v>
      </c>
      <c r="C12" s="1" t="e">
        <f>(Gewinne!$O12-Gewinne!C12)/Gewinne!$O12</f>
        <v>#DIV/0!</v>
      </c>
      <c r="D12" s="1" t="e">
        <f>(Gewinne!$O12-Gewinne!D12)/Gewinne!$O12</f>
        <v>#DIV/0!</v>
      </c>
      <c r="E12" s="1" t="e">
        <f>(Gewinne!$O12-Gewinne!E12)/Gewinne!$O12</f>
        <v>#DIV/0!</v>
      </c>
      <c r="F12" s="1" t="e">
        <f>(Gewinne!$O12-Gewinne!F12)/Gewinne!$O12</f>
        <v>#DIV/0!</v>
      </c>
      <c r="G12" s="1" t="e">
        <f>(Gewinne!$O12-Gewinne!G12)/Gewinne!$O12</f>
        <v>#DIV/0!</v>
      </c>
      <c r="H12" s="1" t="e">
        <f>(Gewinne!$O12-Gewinne!H12)/Gewinne!$O12</f>
        <v>#DIV/0!</v>
      </c>
      <c r="I12" s="1" t="e">
        <f>(Gewinne!$O12-Gewinne!I12)/Gewinne!$O12</f>
        <v>#DIV/0!</v>
      </c>
      <c r="J12" s="1" t="e">
        <f>(Gewinne!$O12-Gewinne!J12)/Gewinne!$O12</f>
        <v>#DIV/0!</v>
      </c>
      <c r="K12" s="1" t="e">
        <f>(Gewinne!$O12-Gewinne!K12)/Gewinne!$O12</f>
        <v>#DIV/0!</v>
      </c>
      <c r="L12" s="1" t="e">
        <f>(Gewinne!$O12-Gewinne!L12)/Gewinne!$O12</f>
        <v>#DIV/0!</v>
      </c>
      <c r="M12" s="1" t="e">
        <f>(Gewinne!$O12-Gewinne!M12)/Gewinne!$O12</f>
        <v>#DIV/0!</v>
      </c>
      <c r="N12" s="1" t="e">
        <f>(Gewinne!$O12-Gewinne!N12)/Gewinne!$O12</f>
        <v>#DIV/0!</v>
      </c>
      <c r="O12" s="1"/>
    </row>
    <row r="13" spans="2:15" x14ac:dyDescent="0.25">
      <c r="B13" t="s">
        <v>23</v>
      </c>
      <c r="C13" s="1" t="e">
        <f>(Gewinne!$O13-Gewinne!C13)/Gewinne!$O13</f>
        <v>#DIV/0!</v>
      </c>
      <c r="D13" s="1" t="e">
        <f>(Gewinne!$O13-Gewinne!D13)/Gewinne!$O13</f>
        <v>#DIV/0!</v>
      </c>
      <c r="E13" s="1" t="e">
        <f>(Gewinne!$O13-Gewinne!E13)/Gewinne!$O13</f>
        <v>#DIV/0!</v>
      </c>
      <c r="F13" s="1" t="e">
        <f>(Gewinne!$O13-Gewinne!F13)/Gewinne!$O13</f>
        <v>#DIV/0!</v>
      </c>
      <c r="G13" s="1" t="e">
        <f>(Gewinne!$O13-Gewinne!G13)/Gewinne!$O13</f>
        <v>#DIV/0!</v>
      </c>
      <c r="H13" s="1" t="e">
        <f>(Gewinne!$O13-Gewinne!H13)/Gewinne!$O13</f>
        <v>#DIV/0!</v>
      </c>
      <c r="I13" s="1" t="e">
        <f>(Gewinne!$O13-Gewinne!I13)/Gewinne!$O13</f>
        <v>#DIV/0!</v>
      </c>
      <c r="J13" s="1" t="e">
        <f>(Gewinne!$O13-Gewinne!J13)/Gewinne!$O13</f>
        <v>#DIV/0!</v>
      </c>
      <c r="K13" s="1" t="e">
        <f>(Gewinne!$O13-Gewinne!K13)/Gewinne!$O13</f>
        <v>#DIV/0!</v>
      </c>
      <c r="L13" s="1" t="e">
        <f>(Gewinne!$O13-Gewinne!L13)/Gewinne!$O13</f>
        <v>#DIV/0!</v>
      </c>
      <c r="M13" s="1" t="e">
        <f>(Gewinne!$O13-Gewinne!M13)/Gewinne!$O13</f>
        <v>#DIV/0!</v>
      </c>
      <c r="N13" s="1" t="e">
        <f>(Gewinne!$O13-Gewinne!N13)/Gewinne!$O13</f>
        <v>#DIV/0!</v>
      </c>
      <c r="O13" s="1"/>
    </row>
    <row r="14" spans="2:15" x14ac:dyDescent="0.25">
      <c r="B14" t="s">
        <v>24</v>
      </c>
      <c r="C14" s="1" t="e">
        <f>(Gewinne!$O14-Gewinne!C14)/Gewinne!$O14</f>
        <v>#DIV/0!</v>
      </c>
      <c r="D14" s="1" t="e">
        <f>(Gewinne!$O14-Gewinne!D14)/Gewinne!$O14</f>
        <v>#DIV/0!</v>
      </c>
      <c r="E14" s="1" t="e">
        <f>(Gewinne!$O14-Gewinne!E14)/Gewinne!$O14</f>
        <v>#DIV/0!</v>
      </c>
      <c r="F14" s="1" t="e">
        <f>(Gewinne!$O14-Gewinne!F14)/Gewinne!$O14</f>
        <v>#DIV/0!</v>
      </c>
      <c r="G14" s="1" t="e">
        <f>(Gewinne!$O14-Gewinne!G14)/Gewinne!$O14</f>
        <v>#DIV/0!</v>
      </c>
      <c r="H14" s="1" t="e">
        <f>(Gewinne!$O14-Gewinne!H14)/Gewinne!$O14</f>
        <v>#DIV/0!</v>
      </c>
      <c r="I14" s="1" t="e">
        <f>(Gewinne!$O14-Gewinne!I14)/Gewinne!$O14</f>
        <v>#DIV/0!</v>
      </c>
      <c r="J14" s="1" t="e">
        <f>(Gewinne!$O14-Gewinne!J14)/Gewinne!$O14</f>
        <v>#DIV/0!</v>
      </c>
      <c r="K14" s="1" t="e">
        <f>(Gewinne!$O14-Gewinne!K14)/Gewinne!$O14</f>
        <v>#DIV/0!</v>
      </c>
      <c r="L14" s="1" t="e">
        <f>(Gewinne!$O14-Gewinne!L14)/Gewinne!$O14</f>
        <v>#DIV/0!</v>
      </c>
      <c r="M14" s="1" t="e">
        <f>(Gewinne!$O14-Gewinne!M14)/Gewinne!$O14</f>
        <v>#DIV/0!</v>
      </c>
      <c r="N14" s="1" t="e">
        <f>(Gewinne!$O14-Gewinne!N14)/Gewinne!$O14</f>
        <v>#DIV/0!</v>
      </c>
      <c r="O14" s="1"/>
    </row>
    <row r="15" spans="2:15" x14ac:dyDescent="0.25">
      <c r="B15" t="s">
        <v>25</v>
      </c>
      <c r="C15" s="1" t="e">
        <f>(Gewinne!$O15-Gewinne!C15)/Gewinne!$O15</f>
        <v>#DIV/0!</v>
      </c>
      <c r="D15" s="1" t="e">
        <f>(Gewinne!$O15-Gewinne!D15)/Gewinne!$O15</f>
        <v>#DIV/0!</v>
      </c>
      <c r="E15" s="1" t="e">
        <f>(Gewinne!$O15-Gewinne!E15)/Gewinne!$O15</f>
        <v>#DIV/0!</v>
      </c>
      <c r="F15" s="1" t="e">
        <f>(Gewinne!$O15-Gewinne!F15)/Gewinne!$O15</f>
        <v>#DIV/0!</v>
      </c>
      <c r="G15" s="1" t="e">
        <f>(Gewinne!$O15-Gewinne!G15)/Gewinne!$O15</f>
        <v>#DIV/0!</v>
      </c>
      <c r="H15" s="1" t="e">
        <f>(Gewinne!$O15-Gewinne!H15)/Gewinne!$O15</f>
        <v>#DIV/0!</v>
      </c>
      <c r="I15" s="1" t="e">
        <f>(Gewinne!$O15-Gewinne!I15)/Gewinne!$O15</f>
        <v>#DIV/0!</v>
      </c>
      <c r="J15" s="1" t="e">
        <f>(Gewinne!$O15-Gewinne!J15)/Gewinne!$O15</f>
        <v>#DIV/0!</v>
      </c>
      <c r="K15" s="1" t="e">
        <f>(Gewinne!$O15-Gewinne!K15)/Gewinne!$O15</f>
        <v>#DIV/0!</v>
      </c>
      <c r="L15" s="1" t="e">
        <f>(Gewinne!$O15-Gewinne!L15)/Gewinne!$O15</f>
        <v>#DIV/0!</v>
      </c>
      <c r="M15" s="1" t="e">
        <f>(Gewinne!$O15-Gewinne!M15)/Gewinne!$O15</f>
        <v>#DIV/0!</v>
      </c>
      <c r="N15" s="1" t="e">
        <f>(Gewinne!$O15-Gewinne!N15)/Gewinne!$O15</f>
        <v>#DIV/0!</v>
      </c>
      <c r="O15" s="1"/>
    </row>
    <row r="16" spans="2:15" x14ac:dyDescent="0.25">
      <c r="B16" t="s">
        <v>26</v>
      </c>
      <c r="C16" s="1" t="e">
        <f>(Gewinne!$O16-Gewinne!C16)/Gewinne!$O16</f>
        <v>#DIV/0!</v>
      </c>
      <c r="D16" s="1" t="e">
        <f>(Gewinne!$O16-Gewinne!D16)/Gewinne!$O16</f>
        <v>#DIV/0!</v>
      </c>
      <c r="E16" s="1" t="e">
        <f>(Gewinne!$O16-Gewinne!E16)/Gewinne!$O16</f>
        <v>#DIV/0!</v>
      </c>
      <c r="F16" s="1" t="e">
        <f>(Gewinne!$O16-Gewinne!F16)/Gewinne!$O16</f>
        <v>#DIV/0!</v>
      </c>
      <c r="G16" s="1" t="e">
        <f>(Gewinne!$O16-Gewinne!G16)/Gewinne!$O16</f>
        <v>#DIV/0!</v>
      </c>
      <c r="H16" s="1" t="e">
        <f>(Gewinne!$O16-Gewinne!H16)/Gewinne!$O16</f>
        <v>#DIV/0!</v>
      </c>
      <c r="I16" s="1" t="e">
        <f>(Gewinne!$O16-Gewinne!I16)/Gewinne!$O16</f>
        <v>#DIV/0!</v>
      </c>
      <c r="J16" s="1" t="e">
        <f>(Gewinne!$O16-Gewinne!J16)/Gewinne!$O16</f>
        <v>#DIV/0!</v>
      </c>
      <c r="K16" s="1" t="e">
        <f>(Gewinne!$O16-Gewinne!K16)/Gewinne!$O16</f>
        <v>#DIV/0!</v>
      </c>
      <c r="L16" s="1" t="e">
        <f>(Gewinne!$O16-Gewinne!L16)/Gewinne!$O16</f>
        <v>#DIV/0!</v>
      </c>
      <c r="M16" s="1" t="e">
        <f>(Gewinne!$O16-Gewinne!M16)/Gewinne!$O16</f>
        <v>#DIV/0!</v>
      </c>
      <c r="N16" s="1" t="e">
        <f>(Gewinne!$O16-Gewinne!N16)/Gewinne!$O16</f>
        <v>#DIV/0!</v>
      </c>
      <c r="O16" s="1"/>
    </row>
    <row r="17" spans="2:15" x14ac:dyDescent="0.25">
      <c r="B17" t="s">
        <v>27</v>
      </c>
      <c r="C17" s="1" t="e">
        <f>(Gewinne!$O17-Gewinne!C17)/Gewinne!$O17</f>
        <v>#DIV/0!</v>
      </c>
      <c r="D17" s="1" t="e">
        <f>(Gewinne!$O17-Gewinne!D17)/Gewinne!$O17</f>
        <v>#DIV/0!</v>
      </c>
      <c r="E17" s="1" t="e">
        <f>(Gewinne!$O17-Gewinne!E17)/Gewinne!$O17</f>
        <v>#DIV/0!</v>
      </c>
      <c r="F17" s="1" t="e">
        <f>(Gewinne!$O17-Gewinne!F17)/Gewinne!$O17</f>
        <v>#DIV/0!</v>
      </c>
      <c r="G17" s="1" t="e">
        <f>(Gewinne!$O17-Gewinne!G17)/Gewinne!$O17</f>
        <v>#DIV/0!</v>
      </c>
      <c r="H17" s="1" t="e">
        <f>(Gewinne!$O17-Gewinne!H17)/Gewinne!$O17</f>
        <v>#DIV/0!</v>
      </c>
      <c r="I17" s="1" t="e">
        <f>(Gewinne!$O17-Gewinne!I17)/Gewinne!$O17</f>
        <v>#DIV/0!</v>
      </c>
      <c r="J17" s="1" t="e">
        <f>(Gewinne!$O17-Gewinne!J17)/Gewinne!$O17</f>
        <v>#DIV/0!</v>
      </c>
      <c r="K17" s="1" t="e">
        <f>(Gewinne!$O17-Gewinne!K17)/Gewinne!$O17</f>
        <v>#DIV/0!</v>
      </c>
      <c r="L17" s="1" t="e">
        <f>(Gewinne!$O17-Gewinne!L17)/Gewinne!$O17</f>
        <v>#DIV/0!</v>
      </c>
      <c r="M17" s="1" t="e">
        <f>(Gewinne!$O17-Gewinne!M17)/Gewinne!$O17</f>
        <v>#DIV/0!</v>
      </c>
      <c r="N17" s="1" t="e">
        <f>(Gewinne!$O17-Gewinne!N17)/Gewinne!$O17</f>
        <v>#DIV/0!</v>
      </c>
      <c r="O17" s="1"/>
    </row>
    <row r="18" spans="2:15" x14ac:dyDescent="0.25">
      <c r="B18" t="s">
        <v>28</v>
      </c>
      <c r="C18" s="1" t="e">
        <f>(Gewinne!$O18-Gewinne!C18)/Gewinne!$O18</f>
        <v>#DIV/0!</v>
      </c>
      <c r="D18" s="1" t="e">
        <f>(Gewinne!$O18-Gewinne!D18)/Gewinne!$O18</f>
        <v>#DIV/0!</v>
      </c>
      <c r="E18" s="1" t="e">
        <f>(Gewinne!$O18-Gewinne!E18)/Gewinne!$O18</f>
        <v>#DIV/0!</v>
      </c>
      <c r="F18" s="1" t="e">
        <f>(Gewinne!$O18-Gewinne!F18)/Gewinne!$O18</f>
        <v>#DIV/0!</v>
      </c>
      <c r="G18" s="1" t="e">
        <f>(Gewinne!$O18-Gewinne!G18)/Gewinne!$O18</f>
        <v>#DIV/0!</v>
      </c>
      <c r="H18" s="1" t="e">
        <f>(Gewinne!$O18-Gewinne!H18)/Gewinne!$O18</f>
        <v>#DIV/0!</v>
      </c>
      <c r="I18" s="1" t="e">
        <f>(Gewinne!$O18-Gewinne!I18)/Gewinne!$O18</f>
        <v>#DIV/0!</v>
      </c>
      <c r="J18" s="1" t="e">
        <f>(Gewinne!$O18-Gewinne!J18)/Gewinne!$O18</f>
        <v>#DIV/0!</v>
      </c>
      <c r="K18" s="1" t="e">
        <f>(Gewinne!$O18-Gewinne!K18)/Gewinne!$O18</f>
        <v>#DIV/0!</v>
      </c>
      <c r="L18" s="1" t="e">
        <f>(Gewinne!$O18-Gewinne!L18)/Gewinne!$O18</f>
        <v>#DIV/0!</v>
      </c>
      <c r="M18" s="1" t="e">
        <f>(Gewinne!$O18-Gewinne!M18)/Gewinne!$O18</f>
        <v>#DIV/0!</v>
      </c>
      <c r="N18" s="1" t="e">
        <f>(Gewinne!$O18-Gewinne!N18)/Gewinne!$O18</f>
        <v>#DIV/0!</v>
      </c>
      <c r="O18" s="1"/>
    </row>
    <row r="19" spans="2:15" x14ac:dyDescent="0.25">
      <c r="B19" t="s">
        <v>29</v>
      </c>
      <c r="C19" s="1" t="e">
        <f>(Gewinne!$O19-Gewinne!C19)/Gewinne!$O19</f>
        <v>#DIV/0!</v>
      </c>
      <c r="D19" s="1" t="e">
        <f>(Gewinne!$O19-Gewinne!D19)/Gewinne!$O19</f>
        <v>#DIV/0!</v>
      </c>
      <c r="E19" s="1" t="e">
        <f>(Gewinne!$O19-Gewinne!E19)/Gewinne!$O19</f>
        <v>#DIV/0!</v>
      </c>
      <c r="F19" s="1" t="e">
        <f>(Gewinne!$O19-Gewinne!F19)/Gewinne!$O19</f>
        <v>#DIV/0!</v>
      </c>
      <c r="G19" s="1" t="e">
        <f>(Gewinne!$O19-Gewinne!G19)/Gewinne!$O19</f>
        <v>#DIV/0!</v>
      </c>
      <c r="H19" s="1" t="e">
        <f>(Gewinne!$O19-Gewinne!H19)/Gewinne!$O19</f>
        <v>#DIV/0!</v>
      </c>
      <c r="I19" s="1" t="e">
        <f>(Gewinne!$O19-Gewinne!I19)/Gewinne!$O19</f>
        <v>#DIV/0!</v>
      </c>
      <c r="J19" s="1" t="e">
        <f>(Gewinne!$O19-Gewinne!J19)/Gewinne!$O19</f>
        <v>#DIV/0!</v>
      </c>
      <c r="K19" s="1" t="e">
        <f>(Gewinne!$O19-Gewinne!K19)/Gewinne!$O19</f>
        <v>#DIV/0!</v>
      </c>
      <c r="L19" s="1" t="e">
        <f>(Gewinne!$O19-Gewinne!L19)/Gewinne!$O19</f>
        <v>#DIV/0!</v>
      </c>
      <c r="M19" s="1" t="e">
        <f>(Gewinne!$O19-Gewinne!M19)/Gewinne!$O19</f>
        <v>#DIV/0!</v>
      </c>
      <c r="N19" s="1" t="e">
        <f>(Gewinne!$O19-Gewinne!N19)/Gewinne!$O19</f>
        <v>#DIV/0!</v>
      </c>
      <c r="O19" s="1"/>
    </row>
    <row r="20" spans="2:15" x14ac:dyDescent="0.25">
      <c r="B20" t="s">
        <v>30</v>
      </c>
      <c r="C20" s="1" t="e">
        <f>(Gewinne!$O20-Gewinne!C20)/Gewinne!$O20</f>
        <v>#DIV/0!</v>
      </c>
      <c r="D20" s="1" t="e">
        <f>(Gewinne!$O20-Gewinne!D20)/Gewinne!$O20</f>
        <v>#DIV/0!</v>
      </c>
      <c r="E20" s="1" t="e">
        <f>(Gewinne!$O20-Gewinne!E20)/Gewinne!$O20</f>
        <v>#DIV/0!</v>
      </c>
      <c r="F20" s="1" t="e">
        <f>(Gewinne!$O20-Gewinne!F20)/Gewinne!$O20</f>
        <v>#DIV/0!</v>
      </c>
      <c r="G20" s="1" t="e">
        <f>(Gewinne!$O20-Gewinne!G20)/Gewinne!$O20</f>
        <v>#DIV/0!</v>
      </c>
      <c r="H20" s="1" t="e">
        <f>(Gewinne!$O20-Gewinne!H20)/Gewinne!$O20</f>
        <v>#DIV/0!</v>
      </c>
      <c r="I20" s="1" t="e">
        <f>(Gewinne!$O20-Gewinne!I20)/Gewinne!$O20</f>
        <v>#DIV/0!</v>
      </c>
      <c r="J20" s="1" t="e">
        <f>(Gewinne!$O20-Gewinne!J20)/Gewinne!$O20</f>
        <v>#DIV/0!</v>
      </c>
      <c r="K20" s="1" t="e">
        <f>(Gewinne!$O20-Gewinne!K20)/Gewinne!$O20</f>
        <v>#DIV/0!</v>
      </c>
      <c r="L20" s="1" t="e">
        <f>(Gewinne!$O20-Gewinne!L20)/Gewinne!$O20</f>
        <v>#DIV/0!</v>
      </c>
      <c r="M20" s="1" t="e">
        <f>(Gewinne!$O20-Gewinne!M20)/Gewinne!$O20</f>
        <v>#DIV/0!</v>
      </c>
      <c r="N20" s="1" t="e">
        <f>(Gewinne!$O20-Gewinne!N20)/Gewinne!$O20</f>
        <v>#DIV/0!</v>
      </c>
      <c r="O20" s="1"/>
    </row>
    <row r="21" spans="2:15" x14ac:dyDescent="0.25">
      <c r="B21" t="s">
        <v>31</v>
      </c>
      <c r="C21" s="1">
        <f>(Gewinne!$O21-Gewinne!C21)/Gewinne!$O21</f>
        <v>1</v>
      </c>
      <c r="D21" s="1">
        <f>(Gewinne!$O21-Gewinne!D21)/Gewinne!$O21</f>
        <v>1</v>
      </c>
      <c r="E21" s="1">
        <f>(Gewinne!$O21-Gewinne!E21)/Gewinne!$O21</f>
        <v>0.10515961519077868</v>
      </c>
      <c r="F21" s="1">
        <f>(Gewinne!$O21-Gewinne!F21)/Gewinne!$O21</f>
        <v>0.32725994330409758</v>
      </c>
      <c r="G21" s="1">
        <f>(Gewinne!$O21-Gewinne!G21)/Gewinne!$O21</f>
        <v>-9.2923412043300721E-2</v>
      </c>
      <c r="H21" s="1">
        <f>(Gewinne!$O21-Gewinne!H21)/Gewinne!$O21</f>
        <v>-6.4732560697273414E-2</v>
      </c>
      <c r="I21" s="1">
        <f>(Gewinne!$O21-Gewinne!I21)/Gewinne!$O21</f>
        <v>-9.5279582896364359E-2</v>
      </c>
      <c r="J21" s="1">
        <f>(Gewinne!$O21-Gewinne!J21)/Gewinne!$O21</f>
        <v>-9.0125818588642354E-2</v>
      </c>
      <c r="K21" s="1">
        <f>(Gewinne!$O21-Gewinne!K21)/Gewinne!$O21</f>
        <v>2.5820131450864457E-2</v>
      </c>
      <c r="L21" s="1">
        <f>(Gewinne!$O21-Gewinne!L21)/Gewinne!$O21</f>
        <v>-6.2169756029452752E-2</v>
      </c>
      <c r="M21" s="1">
        <f>(Gewinne!$O21-Gewinne!M21)/Gewinne!$O21</f>
        <v>-6.8576767699004407E-2</v>
      </c>
      <c r="N21" s="1">
        <f>(Gewinne!$O21-Gewinne!N21)/Gewinne!$O21</f>
        <v>-4.0179282538220097E-2</v>
      </c>
      <c r="O21" s="1"/>
    </row>
    <row r="22" spans="2:15" x14ac:dyDescent="0.25">
      <c r="B22" t="s">
        <v>32</v>
      </c>
      <c r="C22" s="1">
        <f>(Gewinne!$O22-Gewinne!C22)/Gewinne!$O22</f>
        <v>-0.10889877250013803</v>
      </c>
      <c r="D22" s="1">
        <f>(Gewinne!$O22-Gewinne!D22)/Gewinne!$O22</f>
        <v>1</v>
      </c>
      <c r="E22" s="1">
        <f>(Gewinne!$O22-Gewinne!E22)/Gewinne!$O22</f>
        <v>-1.6244576647956928E-2</v>
      </c>
      <c r="F22" s="1">
        <f>(Gewinne!$O22-Gewinne!F22)/Gewinne!$O22</f>
        <v>0.40054805585705339</v>
      </c>
      <c r="G22" s="1">
        <f>(Gewinne!$O22-Gewinne!G22)/Gewinne!$O22</f>
        <v>-0.18726429274574713</v>
      </c>
      <c r="H22" s="1">
        <f>(Gewinne!$O22-Gewinne!H22)/Gewinne!$O22</f>
        <v>-0.12894883434702681</v>
      </c>
      <c r="I22" s="1">
        <f>(Gewinne!$O22-Gewinne!I22)/Gewinne!$O22</f>
        <v>-0.14114939951832634</v>
      </c>
      <c r="J22" s="1">
        <f>(Gewinne!$O22-Gewinne!J22)/Gewinne!$O22</f>
        <v>-0.1812493066726053</v>
      </c>
      <c r="K22" s="1">
        <f>(Gewinne!$O22-Gewinne!K22)/Gewinne!$O22</f>
        <v>7.5272979315954896E-3</v>
      </c>
      <c r="L22" s="1">
        <f>(Gewinne!$O22-Gewinne!L22)/Gewinne!$O22</f>
        <v>-0.16119935309546582</v>
      </c>
      <c r="M22" s="1">
        <f>(Gewinne!$O22-Gewinne!M22)/Gewinne!$O22</f>
        <v>-0.12493884363159889</v>
      </c>
      <c r="N22" s="1">
        <f>(Gewinne!$O22-Gewinne!N22)/Gewinne!$O22</f>
        <v>-0.14857427025707753</v>
      </c>
      <c r="O22" s="1"/>
    </row>
    <row r="23" spans="2:15" x14ac:dyDescent="0.25">
      <c r="B23" t="s">
        <v>33</v>
      </c>
      <c r="C23" s="1">
        <f>(Gewinne!$O23-Gewinne!C23)/Gewinne!$O23</f>
        <v>1</v>
      </c>
      <c r="D23" s="1">
        <f>(Gewinne!$O23-Gewinne!D23)/Gewinne!$O23</f>
        <v>1</v>
      </c>
      <c r="E23" s="1">
        <f>(Gewinne!$O23-Gewinne!E23)/Gewinne!$O23</f>
        <v>9.7858009379426E-2</v>
      </c>
      <c r="F23" s="1">
        <f>(Gewinne!$O23-Gewinne!F23)/Gewinne!$O23</f>
        <v>0.44214496655124008</v>
      </c>
      <c r="G23" s="1">
        <f>(Gewinne!$O23-Gewinne!G23)/Gewinne!$O23</f>
        <v>-1.6338949029420371E-2</v>
      </c>
      <c r="H23" s="1">
        <f>(Gewinne!$O23-Gewinne!H23)/Gewinne!$O23</f>
        <v>-3.6991256949230292E-2</v>
      </c>
      <c r="I23" s="1">
        <f>(Gewinne!$O23-Gewinne!I23)/Gewinne!$O23</f>
        <v>-2.6431673243374896E-2</v>
      </c>
      <c r="J23" s="1">
        <f>(Gewinne!$O23-Gewinne!J23)/Gewinne!$O23</f>
        <v>-1.4201635751969963E-2</v>
      </c>
      <c r="K23" s="1">
        <f>(Gewinne!$O23-Gewinne!K23)/Gewinne!$O23</f>
        <v>-1.4151145467007381E-2</v>
      </c>
      <c r="L23" s="1">
        <f>(Gewinne!$O23-Gewinne!L23)/Gewinne!$O23</f>
        <v>-4.0214449043134225E-2</v>
      </c>
      <c r="M23" s="1">
        <f>(Gewinne!$O23-Gewinne!M23)/Gewinne!$O23</f>
        <v>-3.0964421691396952E-2</v>
      </c>
      <c r="N23" s="1">
        <f>(Gewinne!$O23-Gewinne!N23)/Gewinne!$O23</f>
        <v>-2.5404445925464491E-2</v>
      </c>
      <c r="O23" s="1"/>
    </row>
    <row r="24" spans="2:15" x14ac:dyDescent="0.25">
      <c r="B24" t="s">
        <v>34</v>
      </c>
      <c r="C24" s="1">
        <f>(Gewinne!$O24-Gewinne!C24)/Gewinne!$O24</f>
        <v>1</v>
      </c>
      <c r="D24" s="1">
        <f>(Gewinne!$O24-Gewinne!D24)/Gewinne!$O24</f>
        <v>1</v>
      </c>
      <c r="E24" s="1">
        <f>(Gewinne!$O24-Gewinne!E24)/Gewinne!$O24</f>
        <v>0.11841767240171579</v>
      </c>
      <c r="F24" s="1">
        <f>(Gewinne!$O24-Gewinne!F24)/Gewinne!$O24</f>
        <v>0.23911026568102955</v>
      </c>
      <c r="G24" s="1">
        <f>(Gewinne!$O24-Gewinne!G24)/Gewinne!$O24</f>
        <v>-9.133221292502175E-2</v>
      </c>
      <c r="H24" s="1">
        <f>(Gewinne!$O24-Gewinne!H24)/Gewinne!$O24</f>
        <v>-3.6219471802460275E-2</v>
      </c>
      <c r="I24" s="1">
        <f>(Gewinne!$O24-Gewinne!I24)/Gewinne!$O24</f>
        <v>-0.10624378395388347</v>
      </c>
      <c r="J24" s="1">
        <f>(Gewinne!$O24-Gewinne!J24)/Gewinne!$O24</f>
        <v>-7.5960159604821012E-2</v>
      </c>
      <c r="K24" s="1">
        <f>(Gewinne!$O24-Gewinne!K24)/Gewinne!$O24</f>
        <v>-3.0108541837000756E-2</v>
      </c>
      <c r="L24" s="1">
        <f>(Gewinne!$O24-Gewinne!L24)/Gewinne!$O24</f>
        <v>-5.7527372576058833E-2</v>
      </c>
      <c r="M24" s="1">
        <f>(Gewinne!$O24-Gewinne!M24)/Gewinne!$O24</f>
        <v>-3.4588373767833989E-2</v>
      </c>
      <c r="N24" s="1">
        <f>(Gewinne!$O24-Gewinne!N24)/Gewinne!$O24</f>
        <v>-6.6890700036332379E-2</v>
      </c>
      <c r="O24" s="1"/>
    </row>
    <row r="25" spans="2:15" x14ac:dyDescent="0.25">
      <c r="B25" t="s">
        <v>35</v>
      </c>
      <c r="C25" s="1">
        <f>(Gewinne!$O25-Gewinne!C25)/Gewinne!$O25</f>
        <v>0.17297464765062379</v>
      </c>
      <c r="D25" s="1">
        <f>(Gewinne!$O25-Gewinne!D25)/Gewinne!$O25</f>
        <v>1</v>
      </c>
      <c r="E25" s="1">
        <f>(Gewinne!$O25-Gewinne!E25)/Gewinne!$O25</f>
        <v>2.5980260989605503E-2</v>
      </c>
      <c r="F25" s="1">
        <f>(Gewinne!$O25-Gewinne!F25)/Gewinne!$O25</f>
        <v>0.26788738160645625</v>
      </c>
      <c r="G25" s="1">
        <f>(Gewinne!$O25-Gewinne!G25)/Gewinne!$O25</f>
        <v>-0.16071298382524166</v>
      </c>
      <c r="H25" s="1">
        <f>(Gewinne!$O25-Gewinne!H25)/Gewinne!$O25</f>
        <v>-0.13078048492524874</v>
      </c>
      <c r="I25" s="1">
        <f>(Gewinne!$O25-Gewinne!I25)/Gewinne!$O25</f>
        <v>-0.20012600217504273</v>
      </c>
      <c r="J25" s="1">
        <f>(Gewinne!$O25-Gewinne!J25)/Gewinne!$O25</f>
        <v>-0.19597726340137947</v>
      </c>
      <c r="K25" s="1">
        <f>(Gewinne!$O25-Gewinne!K25)/Gewinne!$O25</f>
        <v>8.3157071054979787E-3</v>
      </c>
      <c r="L25" s="1">
        <f>(Gewinne!$O25-Gewinne!L25)/Gewinne!$O25</f>
        <v>-0.14619239811742021</v>
      </c>
      <c r="M25" s="1">
        <f>(Gewinne!$O25-Gewinne!M25)/Gewinne!$O25</f>
        <v>-0.11715122670177733</v>
      </c>
      <c r="N25" s="1">
        <f>(Gewinne!$O25-Gewinne!N25)/Gewinne!$O25</f>
        <v>-0.15765207339920428</v>
      </c>
      <c r="O25" s="1"/>
    </row>
    <row r="26" spans="2:15" x14ac:dyDescent="0.25">
      <c r="B26" t="s">
        <v>36</v>
      </c>
      <c r="C26" s="1">
        <f>(Gewinne!$O26-Gewinne!C26)/Gewinne!$O26</f>
        <v>1</v>
      </c>
      <c r="D26" s="1">
        <f>(Gewinne!$O26-Gewinne!D26)/Gewinne!$O26</f>
        <v>1</v>
      </c>
      <c r="E26" s="1">
        <f>(Gewinne!$O26-Gewinne!E26)/Gewinne!$O26</f>
        <v>6.4375601803358495E-2</v>
      </c>
      <c r="F26" s="1">
        <f>(Gewinne!$O26-Gewinne!F26)/Gewinne!$O26</f>
        <v>0.29403049989092234</v>
      </c>
      <c r="G26" s="1">
        <f>(Gewinne!$O26-Gewinne!G26)/Gewinne!$O26</f>
        <v>-0.10733358125153122</v>
      </c>
      <c r="H26" s="1">
        <f>(Gewinne!$O26-Gewinne!H26)/Gewinne!$O26</f>
        <v>-9.4763224782470942E-2</v>
      </c>
      <c r="I26" s="1">
        <f>(Gewinne!$O26-Gewinne!I26)/Gewinne!$O26</f>
        <v>-0.12440476887267075</v>
      </c>
      <c r="J26" s="1">
        <f>(Gewinne!$O26-Gewinne!J26)/Gewinne!$O26</f>
        <v>-0.12711423028556612</v>
      </c>
      <c r="K26" s="1">
        <f>(Gewinne!$O26-Gewinne!K26)/Gewinne!$O26</f>
        <v>-2.6372527243428787E-2</v>
      </c>
      <c r="L26" s="1">
        <f>(Gewinne!$O26-Gewinne!L26)/Gewinne!$O26</f>
        <v>-0.10098457199460463</v>
      </c>
      <c r="M26" s="1">
        <f>(Gewinne!$O26-Gewinne!M26)/Gewinne!$O26</f>
        <v>-0.10484504236667776</v>
      </c>
      <c r="N26" s="1">
        <f>(Gewinne!$O26-Gewinne!N26)/Gewinne!$O26</f>
        <v>-0.101774847334112</v>
      </c>
      <c r="O26" s="1"/>
    </row>
    <row r="27" spans="2:15" x14ac:dyDescent="0.25">
      <c r="B27" t="s">
        <v>37</v>
      </c>
      <c r="C27" s="1">
        <f>(Gewinne!$O27-Gewinne!C27)/Gewinne!$O27</f>
        <v>1</v>
      </c>
      <c r="D27" s="1">
        <f>(Gewinne!$O27-Gewinne!D27)/Gewinne!$O27</f>
        <v>1</v>
      </c>
      <c r="E27" s="1">
        <f>(Gewinne!$O27-Gewinne!E27)/Gewinne!$O27</f>
        <v>6.8005671765514031E-2</v>
      </c>
      <c r="F27" s="1">
        <f>(Gewinne!$O27-Gewinne!F27)/Gewinne!$O27</f>
        <v>0.90651206167594289</v>
      </c>
      <c r="G27" s="1">
        <f>(Gewinne!$O27-Gewinne!G27)/Gewinne!$O27</f>
        <v>-3.4306757950486308E-2</v>
      </c>
      <c r="H27" s="1">
        <f>(Gewinne!$O27-Gewinne!H27)/Gewinne!$O27</f>
        <v>-2.86542056258836E-2</v>
      </c>
      <c r="I27" s="1">
        <f>(Gewinne!$O27-Gewinne!I27)/Gewinne!$O27</f>
        <v>-7.3072767555049198E-2</v>
      </c>
      <c r="J27" s="1">
        <f>(Gewinne!$O27-Gewinne!J27)/Gewinne!$O27</f>
        <v>-7.084979065192816E-2</v>
      </c>
      <c r="K27" s="1">
        <f>(Gewinne!$O27-Gewinne!K27)/Gewinne!$O27</f>
        <v>2.6214546272107921E-2</v>
      </c>
      <c r="L27" s="1">
        <f>(Gewinne!$O27-Gewinne!L27)/Gewinne!$O27</f>
        <v>-3.208378104736527E-2</v>
      </c>
      <c r="M27" s="1">
        <f>(Gewinne!$O27-Gewinne!M27)/Gewinne!$O27</f>
        <v>-5.5329928463336044E-2</v>
      </c>
      <c r="N27" s="1">
        <f>(Gewinne!$O27-Gewinne!N27)/Gewinne!$O27</f>
        <v>-3.7790607353057629E-2</v>
      </c>
      <c r="O27" s="1"/>
    </row>
    <row r="28" spans="2:15" x14ac:dyDescent="0.25">
      <c r="B28" t="s">
        <v>38</v>
      </c>
      <c r="C28" s="1">
        <f>(Gewinne!$O28-Gewinne!C28)/Gewinne!$O28</f>
        <v>1</v>
      </c>
      <c r="D28" s="1">
        <f>(Gewinne!$O28-Gewinne!D28)/Gewinne!$O28</f>
        <v>1</v>
      </c>
      <c r="E28" s="1">
        <f>(Gewinne!$O28-Gewinne!E28)/Gewinne!$O28</f>
        <v>0.10313923443377218</v>
      </c>
      <c r="F28" s="1">
        <f>(Gewinne!$O28-Gewinne!F28)/Gewinne!$O28</f>
        <v>0.31343489509594213</v>
      </c>
      <c r="G28" s="1">
        <f>(Gewinne!$O28-Gewinne!G28)/Gewinne!$O28</f>
        <v>-5.8716822426239872E-2</v>
      </c>
      <c r="H28" s="1">
        <f>(Gewinne!$O28-Gewinne!H28)/Gewinne!$O28</f>
        <v>-2.4257165123005606E-2</v>
      </c>
      <c r="I28" s="1">
        <f>(Gewinne!$O28-Gewinne!I28)/Gewinne!$O28</f>
        <v>-7.3489474419276557E-2</v>
      </c>
      <c r="J28" s="1">
        <f>(Gewinne!$O28-Gewinne!J28)/Gewinne!$O28</f>
        <v>-6.2588825166637857E-2</v>
      </c>
      <c r="K28" s="1">
        <f>(Gewinne!$O28-Gewinne!K28)/Gewinne!$O28</f>
        <v>1.0124047565351027E-2</v>
      </c>
      <c r="L28" s="1">
        <f>(Gewinne!$O28-Gewinne!L28)/Gewinne!$O28</f>
        <v>-6.3134498895394298E-2</v>
      </c>
      <c r="M28" s="1">
        <f>(Gewinne!$O28-Gewinne!M28)/Gewinne!$O28</f>
        <v>-5.2232061583554895E-2</v>
      </c>
      <c r="N28" s="1">
        <f>(Gewinne!$O28-Gewinne!N28)/Gewinne!$O28</f>
        <v>-6.2215456759384724E-2</v>
      </c>
      <c r="O28" s="1"/>
    </row>
    <row r="29" spans="2:15" x14ac:dyDescent="0.25">
      <c r="B29" t="s">
        <v>39</v>
      </c>
      <c r="C29" s="1">
        <f>(Gewinne!$O29-Gewinne!C29)/Gewinne!$O29</f>
        <v>1</v>
      </c>
      <c r="D29" s="1">
        <f>(Gewinne!$O29-Gewinne!D29)/Gewinne!$O29</f>
        <v>1</v>
      </c>
      <c r="E29" s="1">
        <f>(Gewinne!$O29-Gewinne!E29)/Gewinne!$O29</f>
        <v>3.8438834380111232E-2</v>
      </c>
      <c r="F29" s="1">
        <f>(Gewinne!$O29-Gewinne!F29)/Gewinne!$O29</f>
        <v>0.65935712917064093</v>
      </c>
      <c r="G29" s="1">
        <f>(Gewinne!$O29-Gewinne!G29)/Gewinne!$O29</f>
        <v>-7.4677236748600356E-2</v>
      </c>
      <c r="H29" s="1">
        <f>(Gewinne!$O29-Gewinne!H29)/Gewinne!$O29</f>
        <v>-5.4004713489875844E-2</v>
      </c>
      <c r="I29" s="1">
        <f>(Gewinne!$O29-Gewinne!I29)/Gewinne!$O29</f>
        <v>-7.2190006030940598E-2</v>
      </c>
      <c r="J29" s="1">
        <f>(Gewinne!$O29-Gewinne!J29)/Gewinne!$O29</f>
        <v>-6.2179397268913889E-2</v>
      </c>
      <c r="K29" s="1">
        <f>(Gewinne!$O29-Gewinne!K29)/Gewinne!$O29</f>
        <v>-1.3996954020510531E-2</v>
      </c>
      <c r="L29" s="1">
        <f>(Gewinne!$O29-Gewinne!L29)/Gewinne!$O29</f>
        <v>-6.3686178950898217E-2</v>
      </c>
      <c r="M29" s="1">
        <f>(Gewinne!$O29-Gewinne!M29)/Gewinne!$O29</f>
        <v>-4.5544946689358559E-2</v>
      </c>
      <c r="N29" s="1">
        <f>(Gewinne!$O29-Gewinne!N29)/Gewinne!$O29</f>
        <v>-6.0939615480664143E-2</v>
      </c>
      <c r="O29" s="1"/>
    </row>
    <row r="30" spans="2:15" x14ac:dyDescent="0.25">
      <c r="B30" t="s">
        <v>40</v>
      </c>
      <c r="C30" s="1">
        <f>(Gewinne!$O30-Gewinne!C30)/Gewinne!$O30</f>
        <v>1</v>
      </c>
      <c r="D30" s="1">
        <f>(Gewinne!$O30-Gewinne!D30)/Gewinne!$O30</f>
        <v>1</v>
      </c>
      <c r="E30" s="1">
        <f>(Gewinne!$O30-Gewinne!E30)/Gewinne!$O30</f>
        <v>-0.13102009349439819</v>
      </c>
      <c r="F30" s="1">
        <f>(Gewinne!$O30-Gewinne!F30)/Gewinne!$O30</f>
        <v>-7.6879285840144973E-2</v>
      </c>
      <c r="G30" s="1">
        <f>(Gewinne!$O30-Gewinne!G30)/Gewinne!$O30</f>
        <v>-0.30036731941334038</v>
      </c>
      <c r="H30" s="1">
        <f>(Gewinne!$O30-Gewinne!H30)/Gewinne!$O30</f>
        <v>-0.2677928946125448</v>
      </c>
      <c r="I30" s="1">
        <f>(Gewinne!$O30-Gewinne!I30)/Gewinne!$O30</f>
        <v>-0.30336786094641538</v>
      </c>
      <c r="J30" s="1">
        <f>(Gewinne!$O30-Gewinne!J30)/Gewinne!$O30</f>
        <v>-0.31526114800016725</v>
      </c>
      <c r="K30" s="1">
        <f>(Gewinne!$O30-Gewinne!K30)/Gewinne!$O30</f>
        <v>3.9644290179172925E-2</v>
      </c>
      <c r="L30" s="1">
        <f>(Gewinne!$O30-Gewinne!L30)/Gewinne!$O30</f>
        <v>-0.28252738883271256</v>
      </c>
      <c r="M30" s="1">
        <f>(Gewinne!$O30-Gewinne!M30)/Gewinne!$O30</f>
        <v>-0.24202410599608237</v>
      </c>
      <c r="N30" s="1">
        <f>(Gewinne!$O30-Gewinne!N30)/Gewinne!$O30</f>
        <v>-0.23693645512666373</v>
      </c>
      <c r="O30" s="1"/>
    </row>
    <row r="31" spans="2:15" x14ac:dyDescent="0.25">
      <c r="B31" t="s">
        <v>41</v>
      </c>
      <c r="C31" s="1">
        <f>(Gewinne!$O31-Gewinne!C31)/Gewinne!$O31</f>
        <v>-0.73300510795398066</v>
      </c>
      <c r="D31" s="1">
        <f>(Gewinne!$O31-Gewinne!D31)/Gewinne!$O31</f>
        <v>0.71742754456425273</v>
      </c>
      <c r="E31" s="1">
        <f>(Gewinne!$O31-Gewinne!E31)/Gewinne!$O31</f>
        <v>-0.53485410833110147</v>
      </c>
      <c r="F31" s="1">
        <f>(Gewinne!$O31-Gewinne!F31)/Gewinne!$O31</f>
        <v>-0.18680643835425753</v>
      </c>
      <c r="G31" s="1">
        <f>(Gewinne!$O31-Gewinne!G31)/Gewinne!$O31</f>
        <v>-0.64599262434795379</v>
      </c>
      <c r="H31" s="1">
        <f>(Gewinne!$O31-Gewinne!H31)/Gewinne!$O31</f>
        <v>-0.57924387355181994</v>
      </c>
      <c r="I31" s="1">
        <f>(Gewinne!$O31-Gewinne!I31)/Gewinne!$O31</f>
        <v>-0.67048913700192114</v>
      </c>
      <c r="J31" s="1">
        <f>(Gewinne!$O31-Gewinne!J31)/Gewinne!$O31</f>
        <v>-0.7330045522614006</v>
      </c>
      <c r="K31" s="1">
        <f>(Gewinne!$O31-Gewinne!K31)/Gewinne!$O31</f>
        <v>0.13526510412025772</v>
      </c>
      <c r="L31" s="1">
        <f>(Gewinne!$O31-Gewinne!L31)/Gewinne!$O31</f>
        <v>-0.7260583950103473</v>
      </c>
      <c r="M31" s="1">
        <f>(Gewinne!$O31-Gewinne!M31)/Gewinne!$O31</f>
        <v>-0.64270450799770806</v>
      </c>
      <c r="N31" s="1">
        <f>(Gewinne!$O31-Gewinne!N31)/Gewinne!$O31</f>
        <v>-0.719112237759294</v>
      </c>
      <c r="O31" s="1"/>
    </row>
    <row r="32" spans="2:15" x14ac:dyDescent="0.25">
      <c r="B32" t="s">
        <v>42</v>
      </c>
      <c r="C32" s="1">
        <f>(Gewinne!$O32-Gewinne!C32)/Gewinne!$O32</f>
        <v>-0.90288529204785362</v>
      </c>
      <c r="D32" s="1">
        <f>(Gewinne!$O32-Gewinne!D32)/Gewinne!$O32</f>
        <v>0.54609542575650949</v>
      </c>
      <c r="E32" s="1">
        <f>(Gewinne!$O32-Gewinne!E32)/Gewinne!$O32</f>
        <v>-0.43912737508796623</v>
      </c>
      <c r="F32" s="1">
        <f>(Gewinne!$O32-Gewinne!F32)/Gewinne!$O32</f>
        <v>-0.66432090077410277</v>
      </c>
      <c r="G32" s="1">
        <f>(Gewinne!$O32-Gewinne!G32)/Gewinne!$O32</f>
        <v>-0.89514426460239271</v>
      </c>
      <c r="H32" s="1">
        <f>(Gewinne!$O32-Gewinne!H32)/Gewinne!$O32</f>
        <v>-0.71147079521463763</v>
      </c>
      <c r="I32" s="1">
        <f>(Gewinne!$O32-Gewinne!I32)/Gewinne!$O32</f>
        <v>-0.86136523574947221</v>
      </c>
      <c r="J32" s="1">
        <f>(Gewinne!$O32-Gewinne!J32)/Gewinne!$O32</f>
        <v>-0.89514426460239271</v>
      </c>
      <c r="K32" s="1">
        <f>(Gewinne!$O32-Gewinne!K32)/Gewinne!$O32</f>
        <v>0.23434201266713581</v>
      </c>
      <c r="L32" s="1">
        <f>(Gewinne!$O32-Gewinne!L32)/Gewinne!$O32</f>
        <v>-0.89514426460239271</v>
      </c>
      <c r="M32" s="1">
        <f>(Gewinne!$O32-Gewinne!M32)/Gewinne!$O32</f>
        <v>-0.89514426460239271</v>
      </c>
      <c r="N32" s="1">
        <f>(Gewinne!$O32-Gewinne!N32)/Gewinne!$O32</f>
        <v>-0.89514426460239271</v>
      </c>
      <c r="O32" s="1"/>
    </row>
    <row r="33" spans="2:15" x14ac:dyDescent="0.25">
      <c r="B33" t="s">
        <v>43</v>
      </c>
      <c r="C33" s="1">
        <f>(Gewinne!$O33-Gewinne!C33)/Gewinne!$O33</f>
        <v>-0.61778313858242107</v>
      </c>
      <c r="D33" s="1">
        <f>(Gewinne!$O33-Gewinne!D33)/Gewinne!$O33</f>
        <v>1</v>
      </c>
      <c r="E33" s="1">
        <f>(Gewinne!$O33-Gewinne!E33)/Gewinne!$O33</f>
        <v>-0.10715603597532732</v>
      </c>
      <c r="F33" s="1">
        <f>(Gewinne!$O33-Gewinne!F33)/Gewinne!$O33</f>
        <v>-5.3745566921709231E-2</v>
      </c>
      <c r="G33" s="1">
        <f>(Gewinne!$O33-Gewinne!G33)/Gewinne!$O33</f>
        <v>-0.68567538583815735</v>
      </c>
      <c r="H33" s="1">
        <f>(Gewinne!$O33-Gewinne!H33)/Gewinne!$O33</f>
        <v>-0.59229531008369118</v>
      </c>
      <c r="I33" s="1">
        <f>(Gewinne!$O33-Gewinne!I33)/Gewinne!$O33</f>
        <v>-0.72135880248411244</v>
      </c>
      <c r="J33" s="1">
        <f>(Gewinne!$O33-Gewinne!J33)/Gewinne!$O33</f>
        <v>-0.7264564334335345</v>
      </c>
      <c r="K33" s="1">
        <f>(Gewinne!$O33-Gewinne!K33)/Gewinne!$O33</f>
        <v>0.2426225300729131</v>
      </c>
      <c r="L33" s="1">
        <f>(Gewinne!$O33-Gewinne!L33)/Gewinne!$O33</f>
        <v>-0.72483371476866687</v>
      </c>
      <c r="M33" s="1">
        <f>(Gewinne!$O33-Gewinne!M33)/Gewinne!$O33</f>
        <v>-0.71864243807535566</v>
      </c>
      <c r="N33" s="1">
        <f>(Gewinne!$O33-Gewinne!N33)/Gewinne!$O33</f>
        <v>-0.71116354058526809</v>
      </c>
      <c r="O33" s="1"/>
    </row>
    <row r="34" spans="2:15" x14ac:dyDescent="0.25">
      <c r="B34" t="s">
        <v>44</v>
      </c>
      <c r="C34" s="1">
        <f>(Gewinne!$O34-Gewinne!C34)/Gewinne!$O34</f>
        <v>-1.6942977777777779</v>
      </c>
      <c r="D34" s="1">
        <f>(Gewinne!$O34-Gewinne!D34)/Gewinne!$O34</f>
        <v>0.86736148148148151</v>
      </c>
      <c r="E34" s="1">
        <f>(Gewinne!$O34-Gewinne!E34)/Gewinne!$O34</f>
        <v>-1.2018710666666665</v>
      </c>
      <c r="F34" s="1">
        <f>(Gewinne!$O34-Gewinne!F34)/Gewinne!$O34</f>
        <v>-1.3798794222222224</v>
      </c>
      <c r="G34" s="1">
        <f>(Gewinne!$O34-Gewinne!G34)/Gewinne!$O34</f>
        <v>-1.7091118666666665</v>
      </c>
      <c r="H34" s="1">
        <f>(Gewinne!$O34-Gewinne!H34)/Gewinne!$O34</f>
        <v>-1.5845956296296297</v>
      </c>
      <c r="I34" s="1">
        <f>(Gewinne!$O34-Gewinne!I34)/Gewinne!$O34</f>
        <v>-1.7091118666666665</v>
      </c>
      <c r="J34" s="1">
        <f>(Gewinne!$O34-Gewinne!J34)/Gewinne!$O34</f>
        <v>-1.6438548888888889</v>
      </c>
      <c r="K34" s="1">
        <f>(Gewinne!$O34-Gewinne!K34)/Gewinne!$O34</f>
        <v>0.2074074074074074</v>
      </c>
      <c r="L34" s="1">
        <f>(Gewinne!$O34-Gewinne!L34)/Gewinne!$O34</f>
        <v>-1.7091118666666665</v>
      </c>
      <c r="M34" s="1">
        <f>(Gewinne!$O34-Gewinne!M34)/Gewinne!$O34</f>
        <v>-1.6734845185185185</v>
      </c>
      <c r="N34" s="1">
        <f>(Gewinne!$O34-Gewinne!N34)/Gewinne!$O34</f>
        <v>-1.6512622962962964</v>
      </c>
      <c r="O34" s="1"/>
    </row>
    <row r="35" spans="2:15" x14ac:dyDescent="0.25">
      <c r="B35" t="s">
        <v>45</v>
      </c>
      <c r="C35" s="1">
        <f>(Gewinne!$O35-Gewinne!C35)/Gewinne!$O35</f>
        <v>-2.0394891948243705</v>
      </c>
      <c r="D35" s="1">
        <f>(Gewinne!$O35-Gewinne!D35)/Gewinne!$O35</f>
        <v>1</v>
      </c>
      <c r="E35" s="1">
        <f>(Gewinne!$O35-Gewinne!E35)/Gewinne!$O35</f>
        <v>-1.4332511490724686</v>
      </c>
      <c r="F35" s="1">
        <f>(Gewinne!$O35-Gewinne!F35)/Gewinne!$O35</f>
        <v>-1.0354498796230482</v>
      </c>
      <c r="G35" s="1">
        <f>(Gewinne!$O35-Gewinne!G35)/Gewinne!$O35</f>
        <v>-2.076845510032399</v>
      </c>
      <c r="H35" s="1">
        <f>(Gewinne!$O35-Gewinne!H35)/Gewinne!$O35</f>
        <v>-1.8765987807858078</v>
      </c>
      <c r="I35" s="1">
        <f>(Gewinne!$O35-Gewinne!I35)/Gewinne!$O35</f>
        <v>-2.0904196636927419</v>
      </c>
      <c r="J35" s="1">
        <f>(Gewinne!$O35-Gewinne!J35)/Gewinne!$O35</f>
        <v>-1.9682522807496594</v>
      </c>
      <c r="K35" s="1">
        <f>(Gewinne!$O35-Gewinne!K35)/Gewinne!$O35</f>
        <v>0</v>
      </c>
      <c r="L35" s="1">
        <f>(Gewinne!$O35-Gewinne!L35)/Gewinne!$O35</f>
        <v>-2.0904196636927419</v>
      </c>
      <c r="M35" s="1">
        <f>(Gewinne!$O35-Gewinne!M35)/Gewinne!$O35</f>
        <v>-1.9682522807496594</v>
      </c>
      <c r="N35" s="1">
        <f>(Gewinne!$O35-Gewinne!N35)/Gewinne!$O35</f>
        <v>-1.9818264344100018</v>
      </c>
      <c r="O35" s="1"/>
    </row>
    <row r="36" spans="2:15" x14ac:dyDescent="0.25">
      <c r="B36" t="s">
        <v>46</v>
      </c>
      <c r="C36" s="1">
        <f>(Gewinne!$O36-Gewinne!C36)/Gewinne!$O36</f>
        <v>-0.94238537037272252</v>
      </c>
      <c r="D36" s="1">
        <f>(Gewinne!$O36-Gewinne!D36)/Gewinne!$O36</f>
        <v>0.22304541722869201</v>
      </c>
      <c r="E36" s="1">
        <f>(Gewinne!$O36-Gewinne!E36)/Gewinne!$O36</f>
        <v>-0.65736610612316315</v>
      </c>
      <c r="F36" s="1">
        <f>(Gewinne!$O36-Gewinne!F36)/Gewinne!$O36</f>
        <v>-0.91203601592633998</v>
      </c>
      <c r="G36" s="1">
        <f>(Gewinne!$O36-Gewinne!G36)/Gewinne!$O36</f>
        <v>-0.91203601592633998</v>
      </c>
      <c r="H36" s="1">
        <f>(Gewinne!$O36-Gewinne!H36)/Gewinne!$O36</f>
        <v>-0.85227546082423422</v>
      </c>
      <c r="I36" s="1">
        <f>(Gewinne!$O36-Gewinne!I36)/Gewinne!$O36</f>
        <v>-0.94238566374272015</v>
      </c>
      <c r="J36" s="1">
        <f>(Gewinne!$O36-Gewinne!J36)/Gewinne!$O36</f>
        <v>-0.89349066411372458</v>
      </c>
      <c r="K36" s="1">
        <f>(Gewinne!$O36-Gewinne!K36)/Gewinne!$O36</f>
        <v>0</v>
      </c>
      <c r="L36" s="1">
        <f>(Gewinne!$O36-Gewinne!L36)/Gewinne!$O36</f>
        <v>-0.92065455279649988</v>
      </c>
      <c r="M36" s="1">
        <f>(Gewinne!$O36-Gewinne!M36)/Gewinne!$O36</f>
        <v>-0.91203601592633998</v>
      </c>
      <c r="N36" s="1">
        <f>(Gewinne!$O36-Gewinne!N36)/Gewinne!$O36</f>
        <v>-0.88805788637716954</v>
      </c>
      <c r="O36" s="1"/>
    </row>
    <row r="37" spans="2:15" x14ac:dyDescent="0.25">
      <c r="B37" t="s">
        <v>47</v>
      </c>
      <c r="C37" s="1">
        <f>(Gewinne!$O37-Gewinne!C37)/Gewinne!$O37</f>
        <v>-1.152542372881356</v>
      </c>
      <c r="D37" s="1">
        <f>(Gewinne!$O37-Gewinne!D37)/Gewinne!$O37</f>
        <v>1</v>
      </c>
      <c r="E37" s="1">
        <f>(Gewinne!$O37-Gewinne!E37)/Gewinne!$O37</f>
        <v>-1.0282485875706215</v>
      </c>
      <c r="F37" s="1">
        <f>(Gewinne!$O37-Gewinne!F37)/Gewinne!$O37</f>
        <v>-1.0550847457627119</v>
      </c>
      <c r="G37" s="1">
        <f>(Gewinne!$O37-Gewinne!G37)/Gewinne!$O37</f>
        <v>-1.0960451977401129</v>
      </c>
      <c r="H37" s="1">
        <f>(Gewinne!$O37-Gewinne!H37)/Gewinne!$O37</f>
        <v>-1.0790960451977401</v>
      </c>
      <c r="I37" s="1">
        <f>(Gewinne!$O37-Gewinne!I37)/Gewinne!$O37</f>
        <v>-1.1299435028248588</v>
      </c>
      <c r="J37" s="1">
        <f>(Gewinne!$O37-Gewinne!J37)/Gewinne!$O37</f>
        <v>-1.1299435028248588</v>
      </c>
      <c r="K37" s="1">
        <f>(Gewinne!$O37-Gewinne!K37)/Gewinne!$O37</f>
        <v>0</v>
      </c>
      <c r="L37" s="1">
        <f>(Gewinne!$O37-Gewinne!L37)/Gewinne!$O37</f>
        <v>-1.0790960451977401</v>
      </c>
      <c r="M37" s="1">
        <f>(Gewinne!$O37-Gewinne!M37)/Gewinne!$O37</f>
        <v>-1.1355932203389831</v>
      </c>
      <c r="N37" s="1">
        <f>(Gewinne!$O37-Gewinne!N37)/Gewinne!$O37</f>
        <v>-1.1129943502824859</v>
      </c>
      <c r="O37" s="1"/>
    </row>
    <row r="38" spans="2:15" x14ac:dyDescent="0.25">
      <c r="B38" t="s">
        <v>48</v>
      </c>
      <c r="C38" s="1">
        <f>(Gewinne!$O38-Gewinne!C38)/Gewinne!$O38</f>
        <v>-0.61441888247264076</v>
      </c>
      <c r="D38" s="1">
        <f>(Gewinne!$O38-Gewinne!D38)/Gewinne!$O38</f>
        <v>1</v>
      </c>
      <c r="E38" s="1">
        <f>(Gewinne!$O38-Gewinne!E38)/Gewinne!$O38</f>
        <v>-0.31199223403906029</v>
      </c>
      <c r="F38" s="1">
        <f>(Gewinne!$O38-Gewinne!F38)/Gewinne!$O38</f>
        <v>-0.46942924916624973</v>
      </c>
      <c r="G38" s="1">
        <f>(Gewinne!$O38-Gewinne!G38)/Gewinne!$O38</f>
        <v>-0.63143188987878285</v>
      </c>
      <c r="H38" s="1">
        <f>(Gewinne!$O38-Gewinne!H38)/Gewinne!$O38</f>
        <v>-0.47151243484345512</v>
      </c>
      <c r="I38" s="1">
        <f>(Gewinne!$O38-Gewinne!I38)/Gewinne!$O38</f>
        <v>-0.59330956884864305</v>
      </c>
      <c r="J38" s="1">
        <f>(Gewinne!$O38-Gewinne!J38)/Gewinne!$O38</f>
        <v>-0.62462680668579018</v>
      </c>
      <c r="K38" s="1">
        <f>(Gewinne!$O38-Gewinne!K38)/Gewinne!$O38</f>
        <v>2.7220332771970682E-2</v>
      </c>
      <c r="L38" s="1">
        <f>(Gewinne!$O38-Gewinne!L38)/Gewinne!$O38</f>
        <v>-0.59884732098335502</v>
      </c>
      <c r="M38" s="1">
        <f>(Gewinne!$O38-Gewinne!M38)/Gewinne!$O38</f>
        <v>-0.55461428022890258</v>
      </c>
      <c r="N38" s="1">
        <f>(Gewinne!$O38-Gewinne!N38)/Gewinne!$O38</f>
        <v>-0.55461428022890258</v>
      </c>
      <c r="O38" s="1"/>
    </row>
    <row r="39" spans="2:15" x14ac:dyDescent="0.25">
      <c r="B39" t="s">
        <v>49</v>
      </c>
      <c r="C39" s="1">
        <f>(Gewinne!$O39-Gewinne!C39)/Gewinne!$O39</f>
        <v>-0.45627376425855515</v>
      </c>
      <c r="D39" s="1">
        <f>(Gewinne!$O39-Gewinne!D39)/Gewinne!$O39</f>
        <v>1</v>
      </c>
      <c r="E39" s="1">
        <f>(Gewinne!$O39-Gewinne!E39)/Gewinne!$O39</f>
        <v>-0.43346007604562736</v>
      </c>
      <c r="F39" s="1">
        <f>(Gewinne!$O39-Gewinne!F39)/Gewinne!$O39</f>
        <v>-0.45627376425855515</v>
      </c>
      <c r="G39" s="1">
        <f>(Gewinne!$O39-Gewinne!G39)/Gewinne!$O39</f>
        <v>-0.45627376425855515</v>
      </c>
      <c r="H39" s="1">
        <f>(Gewinne!$O39-Gewinne!H39)/Gewinne!$O39</f>
        <v>-0.36882129277566539</v>
      </c>
      <c r="I39" s="1">
        <f>(Gewinne!$O39-Gewinne!I39)/Gewinne!$O39</f>
        <v>-0.45627376425855515</v>
      </c>
      <c r="J39" s="1">
        <f>(Gewinne!$O39-Gewinne!J39)/Gewinne!$O39</f>
        <v>-0.45627376425855515</v>
      </c>
      <c r="K39" s="1">
        <f>(Gewinne!$O39-Gewinne!K39)/Gewinne!$O39</f>
        <v>0.23193916349809887</v>
      </c>
      <c r="L39" s="1">
        <f>(Gewinne!$O39-Gewinne!L39)/Gewinne!$O39</f>
        <v>-0.45627376425855515</v>
      </c>
      <c r="M39" s="1">
        <f>(Gewinne!$O39-Gewinne!M39)/Gewinne!$O39</f>
        <v>-0.45627376425855515</v>
      </c>
      <c r="N39" s="1">
        <f>(Gewinne!$O39-Gewinne!N39)/Gewinne!$O39</f>
        <v>-0.45627376425855515</v>
      </c>
      <c r="O39" s="1"/>
    </row>
    <row r="40" spans="2:15" x14ac:dyDescent="0.25">
      <c r="B40" t="s">
        <v>50</v>
      </c>
      <c r="C40" s="1">
        <f>(Gewinne!$O40-Gewinne!C40)/Gewinne!$O40</f>
        <v>-1.2594235758573271</v>
      </c>
      <c r="D40" s="1">
        <f>(Gewinne!$O40-Gewinne!D40)/Gewinne!$O40</f>
        <v>1</v>
      </c>
      <c r="E40" s="1">
        <f>(Gewinne!$O40-Gewinne!E40)/Gewinne!$O40</f>
        <v>-0.73078296265056852</v>
      </c>
      <c r="F40" s="1">
        <f>(Gewinne!$O40-Gewinne!F40)/Gewinne!$O40</f>
        <v>-0.79204281403728272</v>
      </c>
      <c r="G40" s="1">
        <f>(Gewinne!$O40-Gewinne!G40)/Gewinne!$O40</f>
        <v>-1.3106350307909447</v>
      </c>
      <c r="H40" s="1">
        <f>(Gewinne!$O40-Gewinne!H40)/Gewinne!$O40</f>
        <v>-1.1706707384811987</v>
      </c>
      <c r="I40" s="1">
        <f>(Gewinne!$O40-Gewinne!I40)/Gewinne!$O40</f>
        <v>-1.2806426824388564</v>
      </c>
      <c r="J40" s="1">
        <f>(Gewinne!$O40-Gewinne!J40)/Gewinne!$O40</f>
        <v>-1.2972200332251234</v>
      </c>
      <c r="K40" s="1">
        <f>(Gewinne!$O40-Gewinne!K40)/Gewinne!$O40</f>
        <v>0.1002295494373476</v>
      </c>
      <c r="L40" s="1">
        <f>(Gewinne!$O40-Gewinne!L40)/Gewinne!$O40</f>
        <v>-1.3206324802416409</v>
      </c>
      <c r="M40" s="1">
        <f>(Gewinne!$O40-Gewinne!M40)/Gewinne!$O40</f>
        <v>-1.2906401318895524</v>
      </c>
      <c r="N40" s="1">
        <f>(Gewinne!$O40-Gewinne!N40)/Gewinne!$O40</f>
        <v>-1.2506503340867678</v>
      </c>
      <c r="O40" s="1"/>
    </row>
    <row r="41" spans="2:15" x14ac:dyDescent="0.25">
      <c r="B41" t="s">
        <v>51</v>
      </c>
      <c r="C41" s="1" t="e">
        <f>(Gewinne!$O41-Gewinne!C41)/Gewinne!$O41</f>
        <v>#DIV/0!</v>
      </c>
      <c r="D41" s="1" t="e">
        <f>(Gewinne!$O41-Gewinne!D41)/Gewinne!$O41</f>
        <v>#DIV/0!</v>
      </c>
      <c r="E41" s="1" t="e">
        <f>(Gewinne!$O41-Gewinne!E41)/Gewinne!$O41</f>
        <v>#DIV/0!</v>
      </c>
      <c r="F41" s="1" t="e">
        <f>(Gewinne!$O41-Gewinne!F41)/Gewinne!$O41</f>
        <v>#DIV/0!</v>
      </c>
      <c r="G41" s="1" t="e">
        <f>(Gewinne!$O41-Gewinne!G41)/Gewinne!$O41</f>
        <v>#DIV/0!</v>
      </c>
      <c r="H41" s="1" t="e">
        <f>(Gewinne!$O41-Gewinne!H41)/Gewinne!$O41</f>
        <v>#DIV/0!</v>
      </c>
      <c r="I41" s="1" t="e">
        <f>(Gewinne!$O41-Gewinne!I41)/Gewinne!$O41</f>
        <v>#DIV/0!</v>
      </c>
      <c r="J41" s="1" t="e">
        <f>(Gewinne!$O41-Gewinne!J41)/Gewinne!$O41</f>
        <v>#DIV/0!</v>
      </c>
      <c r="K41" s="1" t="e">
        <f>(Gewinne!$O41-Gewinne!K41)/Gewinne!$O41</f>
        <v>#DIV/0!</v>
      </c>
      <c r="L41" s="1" t="e">
        <f>(Gewinne!$O41-Gewinne!L41)/Gewinne!$O41</f>
        <v>#DIV/0!</v>
      </c>
      <c r="M41" s="1" t="e">
        <f>(Gewinne!$O41-Gewinne!M41)/Gewinne!$O41</f>
        <v>#DIV/0!</v>
      </c>
      <c r="N41" s="1" t="e">
        <f>(Gewinne!$O41-Gewinne!N41)/Gewinne!$O41</f>
        <v>#DIV/0!</v>
      </c>
      <c r="O41" s="1"/>
    </row>
    <row r="42" spans="2:15" x14ac:dyDescent="0.25">
      <c r="B42" t="s">
        <v>52</v>
      </c>
      <c r="C42" s="1" t="e">
        <f>(Gewinne!$O42-Gewinne!C42)/Gewinne!$O42</f>
        <v>#DIV/0!</v>
      </c>
      <c r="D42" s="1" t="e">
        <f>(Gewinne!$O42-Gewinne!D42)/Gewinne!$O42</f>
        <v>#DIV/0!</v>
      </c>
      <c r="E42" s="1" t="e">
        <f>(Gewinne!$O42-Gewinne!E42)/Gewinne!$O42</f>
        <v>#DIV/0!</v>
      </c>
      <c r="F42" s="1" t="e">
        <f>(Gewinne!$O42-Gewinne!F42)/Gewinne!$O42</f>
        <v>#DIV/0!</v>
      </c>
      <c r="G42" s="1" t="e">
        <f>(Gewinne!$O42-Gewinne!G42)/Gewinne!$O42</f>
        <v>#DIV/0!</v>
      </c>
      <c r="H42" s="1" t="e">
        <f>(Gewinne!$O42-Gewinne!H42)/Gewinne!$O42</f>
        <v>#DIV/0!</v>
      </c>
      <c r="I42" s="1" t="e">
        <f>(Gewinne!$O42-Gewinne!I42)/Gewinne!$O42</f>
        <v>#DIV/0!</v>
      </c>
      <c r="J42" s="1" t="e">
        <f>(Gewinne!$O42-Gewinne!J42)/Gewinne!$O42</f>
        <v>#DIV/0!</v>
      </c>
      <c r="K42" s="1" t="e">
        <f>(Gewinne!$O42-Gewinne!K42)/Gewinne!$O42</f>
        <v>#DIV/0!</v>
      </c>
      <c r="L42" s="1" t="e">
        <f>(Gewinne!$O42-Gewinne!L42)/Gewinne!$O42</f>
        <v>#DIV/0!</v>
      </c>
      <c r="M42" s="1" t="e">
        <f>(Gewinne!$O42-Gewinne!M42)/Gewinne!$O42</f>
        <v>#DIV/0!</v>
      </c>
      <c r="N42" s="1" t="e">
        <f>(Gewinne!$O42-Gewinne!N42)/Gewinne!$O42</f>
        <v>#DIV/0!</v>
      </c>
      <c r="O42" s="1"/>
    </row>
    <row r="43" spans="2:15" x14ac:dyDescent="0.25">
      <c r="B43" t="s">
        <v>53</v>
      </c>
      <c r="C43" s="1" t="e">
        <f>(Gewinne!$O43-Gewinne!C43)/Gewinne!$O43</f>
        <v>#DIV/0!</v>
      </c>
      <c r="D43" s="1" t="e">
        <f>(Gewinne!$O43-Gewinne!D43)/Gewinne!$O43</f>
        <v>#DIV/0!</v>
      </c>
      <c r="E43" s="1" t="e">
        <f>(Gewinne!$O43-Gewinne!E43)/Gewinne!$O43</f>
        <v>#DIV/0!</v>
      </c>
      <c r="F43" s="1" t="e">
        <f>(Gewinne!$O43-Gewinne!F43)/Gewinne!$O43</f>
        <v>#DIV/0!</v>
      </c>
      <c r="G43" s="1" t="e">
        <f>(Gewinne!$O43-Gewinne!G43)/Gewinne!$O43</f>
        <v>#DIV/0!</v>
      </c>
      <c r="H43" s="1" t="e">
        <f>(Gewinne!$O43-Gewinne!H43)/Gewinne!$O43</f>
        <v>#DIV/0!</v>
      </c>
      <c r="I43" s="1" t="e">
        <f>(Gewinne!$O43-Gewinne!I43)/Gewinne!$O43</f>
        <v>#DIV/0!</v>
      </c>
      <c r="J43" s="1" t="e">
        <f>(Gewinne!$O43-Gewinne!J43)/Gewinne!$O43</f>
        <v>#DIV/0!</v>
      </c>
      <c r="K43" s="1" t="e">
        <f>(Gewinne!$O43-Gewinne!K43)/Gewinne!$O43</f>
        <v>#DIV/0!</v>
      </c>
      <c r="L43" s="1" t="e">
        <f>(Gewinne!$O43-Gewinne!L43)/Gewinne!$O43</f>
        <v>#DIV/0!</v>
      </c>
      <c r="M43" s="1" t="e">
        <f>(Gewinne!$O43-Gewinne!M43)/Gewinne!$O43</f>
        <v>#DIV/0!</v>
      </c>
      <c r="N43" s="1" t="e">
        <f>(Gewinne!$O43-Gewinne!N43)/Gewinne!$O43</f>
        <v>#DIV/0!</v>
      </c>
      <c r="O43" s="1"/>
    </row>
    <row r="44" spans="2:15" x14ac:dyDescent="0.25">
      <c r="B44" t="s">
        <v>54</v>
      </c>
      <c r="C44" s="1" t="e">
        <f>(Gewinne!$O44-Gewinne!C44)/Gewinne!$O44</f>
        <v>#DIV/0!</v>
      </c>
      <c r="D44" s="1" t="e">
        <f>(Gewinne!$O44-Gewinne!D44)/Gewinne!$O44</f>
        <v>#DIV/0!</v>
      </c>
      <c r="E44" s="1" t="e">
        <f>(Gewinne!$O44-Gewinne!E44)/Gewinne!$O44</f>
        <v>#DIV/0!</v>
      </c>
      <c r="F44" s="1" t="e">
        <f>(Gewinne!$O44-Gewinne!F44)/Gewinne!$O44</f>
        <v>#DIV/0!</v>
      </c>
      <c r="G44" s="1" t="e">
        <f>(Gewinne!$O44-Gewinne!G44)/Gewinne!$O44</f>
        <v>#DIV/0!</v>
      </c>
      <c r="H44" s="1" t="e">
        <f>(Gewinne!$O44-Gewinne!H44)/Gewinne!$O44</f>
        <v>#DIV/0!</v>
      </c>
      <c r="I44" s="1" t="e">
        <f>(Gewinne!$O44-Gewinne!I44)/Gewinne!$O44</f>
        <v>#DIV/0!</v>
      </c>
      <c r="J44" s="1" t="e">
        <f>(Gewinne!$O44-Gewinne!J44)/Gewinne!$O44</f>
        <v>#DIV/0!</v>
      </c>
      <c r="K44" s="1" t="e">
        <f>(Gewinne!$O44-Gewinne!K44)/Gewinne!$O44</f>
        <v>#DIV/0!</v>
      </c>
      <c r="L44" s="1" t="e">
        <f>(Gewinne!$O44-Gewinne!L44)/Gewinne!$O44</f>
        <v>#DIV/0!</v>
      </c>
      <c r="M44" s="1" t="e">
        <f>(Gewinne!$O44-Gewinne!M44)/Gewinne!$O44</f>
        <v>#DIV/0!</v>
      </c>
      <c r="N44" s="1" t="e">
        <f>(Gewinne!$O44-Gewinne!N44)/Gewinne!$O44</f>
        <v>#DIV/0!</v>
      </c>
      <c r="O44" s="1"/>
    </row>
    <row r="45" spans="2:15" x14ac:dyDescent="0.25">
      <c r="B45" t="s">
        <v>55</v>
      </c>
      <c r="C45" s="1" t="e">
        <f>(Gewinne!$O45-Gewinne!C45)/Gewinne!$O45</f>
        <v>#DIV/0!</v>
      </c>
      <c r="D45" s="1" t="e">
        <f>(Gewinne!$O45-Gewinne!D45)/Gewinne!$O45</f>
        <v>#DIV/0!</v>
      </c>
      <c r="E45" s="1" t="e">
        <f>(Gewinne!$O45-Gewinne!E45)/Gewinne!$O45</f>
        <v>#DIV/0!</v>
      </c>
      <c r="F45" s="1" t="e">
        <f>(Gewinne!$O45-Gewinne!F45)/Gewinne!$O45</f>
        <v>#DIV/0!</v>
      </c>
      <c r="G45" s="1" t="e">
        <f>(Gewinne!$O45-Gewinne!G45)/Gewinne!$O45</f>
        <v>#DIV/0!</v>
      </c>
      <c r="H45" s="1" t="e">
        <f>(Gewinne!$O45-Gewinne!H45)/Gewinne!$O45</f>
        <v>#DIV/0!</v>
      </c>
      <c r="I45" s="1" t="e">
        <f>(Gewinne!$O45-Gewinne!I45)/Gewinne!$O45</f>
        <v>#DIV/0!</v>
      </c>
      <c r="J45" s="1" t="e">
        <f>(Gewinne!$O45-Gewinne!J45)/Gewinne!$O45</f>
        <v>#DIV/0!</v>
      </c>
      <c r="K45" s="1" t="e">
        <f>(Gewinne!$O45-Gewinne!K45)/Gewinne!$O45</f>
        <v>#DIV/0!</v>
      </c>
      <c r="L45" s="1" t="e">
        <f>(Gewinne!$O45-Gewinne!L45)/Gewinne!$O45</f>
        <v>#DIV/0!</v>
      </c>
      <c r="M45" s="1" t="e">
        <f>(Gewinne!$O45-Gewinne!M45)/Gewinne!$O45</f>
        <v>#DIV/0!</v>
      </c>
      <c r="N45" s="1" t="e">
        <f>(Gewinne!$O45-Gewinne!N45)/Gewinne!$O45</f>
        <v>#DIV/0!</v>
      </c>
      <c r="O45" s="1"/>
    </row>
    <row r="46" spans="2:15" x14ac:dyDescent="0.25">
      <c r="B46" t="s">
        <v>56</v>
      </c>
      <c r="C46" s="1" t="e">
        <f>(Gewinne!$O46-Gewinne!C46)/Gewinne!$O46</f>
        <v>#DIV/0!</v>
      </c>
      <c r="D46" s="1" t="e">
        <f>(Gewinne!$O46-Gewinne!D46)/Gewinne!$O46</f>
        <v>#DIV/0!</v>
      </c>
      <c r="E46" s="1" t="e">
        <f>(Gewinne!$O46-Gewinne!E46)/Gewinne!$O46</f>
        <v>#DIV/0!</v>
      </c>
      <c r="F46" s="1" t="e">
        <f>(Gewinne!$O46-Gewinne!F46)/Gewinne!$O46</f>
        <v>#DIV/0!</v>
      </c>
      <c r="G46" s="1" t="e">
        <f>(Gewinne!$O46-Gewinne!G46)/Gewinne!$O46</f>
        <v>#DIV/0!</v>
      </c>
      <c r="H46" s="1" t="e">
        <f>(Gewinne!$O46-Gewinne!H46)/Gewinne!$O46</f>
        <v>#DIV/0!</v>
      </c>
      <c r="I46" s="1" t="e">
        <f>(Gewinne!$O46-Gewinne!I46)/Gewinne!$O46</f>
        <v>#DIV/0!</v>
      </c>
      <c r="J46" s="1" t="e">
        <f>(Gewinne!$O46-Gewinne!J46)/Gewinne!$O46</f>
        <v>#DIV/0!</v>
      </c>
      <c r="K46" s="1" t="e">
        <f>(Gewinne!$O46-Gewinne!K46)/Gewinne!$O46</f>
        <v>#DIV/0!</v>
      </c>
      <c r="L46" s="1" t="e">
        <f>(Gewinne!$O46-Gewinne!L46)/Gewinne!$O46</f>
        <v>#DIV/0!</v>
      </c>
      <c r="M46" s="1" t="e">
        <f>(Gewinne!$O46-Gewinne!M46)/Gewinne!$O46</f>
        <v>#DIV/0!</v>
      </c>
      <c r="N46" s="1" t="e">
        <f>(Gewinne!$O46-Gewinne!N46)/Gewinne!$O46</f>
        <v>#DIV/0!</v>
      </c>
      <c r="O46" s="1"/>
    </row>
    <row r="47" spans="2:15" x14ac:dyDescent="0.25">
      <c r="B47" t="s">
        <v>57</v>
      </c>
      <c r="C47" s="1">
        <f>(Gewinne!$O47-Gewinne!C47)/Gewinne!$O47</f>
        <v>-0.50253853673115745</v>
      </c>
      <c r="D47" s="1">
        <f>(Gewinne!$O47-Gewinne!D47)/Gewinne!$O47</f>
        <v>1</v>
      </c>
      <c r="E47" s="1">
        <f>(Gewinne!$O47-Gewinne!E47)/Gewinne!$O47</f>
        <v>-0.32487305945785866</v>
      </c>
      <c r="F47" s="1">
        <f>(Gewinne!$O47-Gewinne!F47)/Gewinne!$O47</f>
        <v>0.80329950041549614</v>
      </c>
      <c r="G47" s="1">
        <f>(Gewinne!$O47-Gewinne!G47)/Gewinne!$O47</f>
        <v>-0.47969541807956934</v>
      </c>
      <c r="H47" s="1">
        <f>(Gewinne!$O47-Gewinne!H47)/Gewinne!$O47</f>
        <v>-0.44543145964531455</v>
      </c>
      <c r="I47" s="1">
        <f>(Gewinne!$O47-Gewinne!I47)/Gewinne!$O47</f>
        <v>-0.46827409860148439</v>
      </c>
      <c r="J47" s="1">
        <f>(Gewinne!$O47-Gewinne!J47)/Gewinne!$O47</f>
        <v>-0.50253805703573928</v>
      </c>
      <c r="K47" s="1">
        <f>(Gewinne!$O47-Gewinne!K47)/Gewinne!$O47</f>
        <v>0</v>
      </c>
      <c r="L47" s="1">
        <f>(Gewinne!$O47-Gewinne!L47)/Gewinne!$O47</f>
        <v>-0.47969541807956934</v>
      </c>
      <c r="M47" s="1">
        <f>(Gewinne!$O47-Gewinne!M47)/Gewinne!$O47</f>
        <v>-0.50253805703573928</v>
      </c>
      <c r="N47" s="1">
        <f>(Gewinne!$O47-Gewinne!N47)/Gewinne!$O47</f>
        <v>-0.50253805703573928</v>
      </c>
      <c r="O47" s="1"/>
    </row>
    <row r="48" spans="2:15" x14ac:dyDescent="0.25">
      <c r="B48" t="s">
        <v>58</v>
      </c>
      <c r="C48" s="1">
        <f>(Gewinne!$O48-Gewinne!C48)/Gewinne!$O48</f>
        <v>-0.4166279280857425</v>
      </c>
      <c r="D48" s="1">
        <f>(Gewinne!$O48-Gewinne!D48)/Gewinne!$O48</f>
        <v>0.540877855530008</v>
      </c>
      <c r="E48" s="1">
        <f>(Gewinne!$O48-Gewinne!E48)/Gewinne!$O48</f>
        <v>-0.37018111077145588</v>
      </c>
      <c r="F48" s="1">
        <f>(Gewinne!$O48-Gewinne!F48)/Gewinne!$O48</f>
        <v>-0.39144339546113804</v>
      </c>
      <c r="G48" s="1">
        <f>(Gewinne!$O48-Gewinne!G48)/Gewinne!$O48</f>
        <v>-0.4166279280857425</v>
      </c>
      <c r="H48" s="1">
        <f>(Gewinne!$O48-Gewinne!H48)/Gewinne!$O48</f>
        <v>-0.4166279280857425</v>
      </c>
      <c r="I48" s="1">
        <f>(Gewinne!$O48-Gewinne!I48)/Gewinne!$O48</f>
        <v>-0.4166279280857425</v>
      </c>
      <c r="J48" s="1">
        <f>(Gewinne!$O48-Gewinne!J48)/Gewinne!$O48</f>
        <v>-0.4166279280857425</v>
      </c>
      <c r="K48" s="1">
        <f>(Gewinne!$O48-Gewinne!K48)/Gewinne!$O48</f>
        <v>0</v>
      </c>
      <c r="L48" s="1">
        <f>(Gewinne!$O48-Gewinne!L48)/Gewinne!$O48</f>
        <v>-0.4166279280857425</v>
      </c>
      <c r="M48" s="1">
        <f>(Gewinne!$O48-Gewinne!M48)/Gewinne!$O48</f>
        <v>-0.4166279280857425</v>
      </c>
      <c r="N48" s="1">
        <f>(Gewinne!$O48-Gewinne!N48)/Gewinne!$O48</f>
        <v>-0.4166279280857425</v>
      </c>
      <c r="O48" s="1"/>
    </row>
    <row r="49" spans="2:15" x14ac:dyDescent="0.25">
      <c r="B49" t="s">
        <v>59</v>
      </c>
      <c r="C49" s="1">
        <f>(Gewinne!$O49-Gewinne!C49)/Gewinne!$O49</f>
        <v>-1.1022222222222224</v>
      </c>
      <c r="D49" s="1">
        <f>(Gewinne!$O49-Gewinne!D49)/Gewinne!$O49</f>
        <v>1</v>
      </c>
      <c r="E49" s="1">
        <f>(Gewinne!$O49-Gewinne!E49)/Gewinne!$O49</f>
        <v>-1.0811111111111111</v>
      </c>
      <c r="F49" s="1">
        <f>(Gewinne!$O49-Gewinne!F49)/Gewinne!$O49</f>
        <v>1</v>
      </c>
      <c r="G49" s="1">
        <f>(Gewinne!$O49-Gewinne!G49)/Gewinne!$O49</f>
        <v>-1.0811111111111111</v>
      </c>
      <c r="H49" s="1">
        <f>(Gewinne!$O49-Gewinne!H49)/Gewinne!$O49</f>
        <v>-1.0811111111111111</v>
      </c>
      <c r="I49" s="1">
        <f>(Gewinne!$O49-Gewinne!I49)/Gewinne!$O49</f>
        <v>-1.0811111111111111</v>
      </c>
      <c r="J49" s="1">
        <f>(Gewinne!$O49-Gewinne!J49)/Gewinne!$O49</f>
        <v>-1.1022222222222224</v>
      </c>
      <c r="K49" s="1">
        <f>(Gewinne!$O49-Gewinne!K49)/Gewinne!$O49</f>
        <v>0</v>
      </c>
      <c r="L49" s="1">
        <f>(Gewinne!$O49-Gewinne!L49)/Gewinne!$O49</f>
        <v>-1.0811111111111111</v>
      </c>
      <c r="M49" s="1">
        <f>(Gewinne!$O49-Gewinne!M49)/Gewinne!$O49</f>
        <v>-1.1022222222222224</v>
      </c>
      <c r="N49" s="1">
        <f>(Gewinne!$O49-Gewinne!N49)/Gewinne!$O49</f>
        <v>-1.0811111111111111</v>
      </c>
      <c r="O49" s="1"/>
    </row>
    <row r="50" spans="2:15" x14ac:dyDescent="0.25">
      <c r="B50" t="s">
        <v>60</v>
      </c>
      <c r="C50" s="1">
        <f>(Gewinne!$O50-Gewinne!C50)/Gewinne!$O50</f>
        <v>-0.54699579709815283</v>
      </c>
      <c r="D50" s="1">
        <f>(Gewinne!$O50-Gewinne!D50)/Gewinne!$O50</f>
        <v>1</v>
      </c>
      <c r="E50" s="1">
        <f>(Gewinne!$O50-Gewinne!E50)/Gewinne!$O50</f>
        <v>-0.29426678570255194</v>
      </c>
      <c r="F50" s="1">
        <f>(Gewinne!$O50-Gewinne!F50)/Gewinne!$O50</f>
        <v>1</v>
      </c>
      <c r="G50" s="1">
        <f>(Gewinne!$O50-Gewinne!G50)/Gewinne!$O50</f>
        <v>-0.42063184424748357</v>
      </c>
      <c r="H50" s="1">
        <f>(Gewinne!$O50-Gewinne!H50)/Gewinne!$O50</f>
        <v>-0.49961000583806581</v>
      </c>
      <c r="I50" s="1">
        <f>(Gewinne!$O50-Gewinne!I50)/Gewinne!$O50</f>
        <v>-0.38904057961125066</v>
      </c>
      <c r="J50" s="1">
        <f>(Gewinne!$O50-Gewinne!J50)/Gewinne!$O50</f>
        <v>-0.5469969027924152</v>
      </c>
      <c r="K50" s="1">
        <f>(Gewinne!$O50-Gewinne!K50)/Gewinne!$O50</f>
        <v>0</v>
      </c>
      <c r="L50" s="1">
        <f>(Gewinne!$O50-Gewinne!L50)/Gewinne!$O50</f>
        <v>-0.42063184424748357</v>
      </c>
      <c r="M50" s="1">
        <f>(Gewinne!$O50-Gewinne!M50)/Gewinne!$O50</f>
        <v>-0.5469969027924152</v>
      </c>
      <c r="N50" s="1">
        <f>(Gewinne!$O50-Gewinne!N50)/Gewinne!$O50</f>
        <v>-0.48381437351994938</v>
      </c>
      <c r="O50" s="1"/>
    </row>
    <row r="51" spans="2:15" x14ac:dyDescent="0.25">
      <c r="B51" t="s">
        <v>61</v>
      </c>
      <c r="C51" s="1">
        <f>(Gewinne!$O51-Gewinne!C51)/Gewinne!$O51</f>
        <v>-0.7550060422394026</v>
      </c>
      <c r="D51" s="1">
        <f>(Gewinne!$O51-Gewinne!D51)/Gewinne!$O51</f>
        <v>1</v>
      </c>
      <c r="E51" s="1">
        <f>(Gewinne!$O51-Gewinne!E51)/Gewinne!$O51</f>
        <v>-0.54037747075714171</v>
      </c>
      <c r="F51" s="1">
        <f>(Gewinne!$O51-Gewinne!F51)/Gewinne!$O51</f>
        <v>3.8606676673700956E-2</v>
      </c>
      <c r="G51" s="1">
        <f>(Gewinne!$O51-Gewinne!G51)/Gewinne!$O51</f>
        <v>-0.73822934416678188</v>
      </c>
      <c r="H51" s="1">
        <f>(Gewinne!$O51-Gewinne!H51)/Gewinne!$O51</f>
        <v>-0.67460098787837475</v>
      </c>
      <c r="I51" s="1">
        <f>(Gewinne!$O51-Gewinne!I51)/Gewinne!$O51</f>
        <v>-0.65433964596601113</v>
      </c>
      <c r="J51" s="1">
        <f>(Gewinne!$O51-Gewinne!J51)/Gewinne!$O51</f>
        <v>-0.70467346488647353</v>
      </c>
      <c r="K51" s="1">
        <f>(Gewinne!$O51-Gewinne!K51)/Gewinne!$O51</f>
        <v>0</v>
      </c>
      <c r="L51" s="1">
        <f>(Gewinne!$O51-Gewinne!L51)/Gewinne!$O51</f>
        <v>-0.73822934416678188</v>
      </c>
      <c r="M51" s="1">
        <f>(Gewinne!$O51-Gewinne!M51)/Gewinne!$O51</f>
        <v>-0.75500728380693594</v>
      </c>
      <c r="N51" s="1">
        <f>(Gewinne!$O51-Gewinne!N51)/Gewinne!$O51</f>
        <v>-0.75500728380693594</v>
      </c>
      <c r="O51" s="1"/>
    </row>
    <row r="52" spans="2:15" x14ac:dyDescent="0.25">
      <c r="B52" t="s">
        <v>62</v>
      </c>
      <c r="C52" s="1">
        <f>(Gewinne!$O52-Gewinne!C52)/Gewinne!$O52</f>
        <v>-0.984375</v>
      </c>
      <c r="D52" s="1">
        <f>(Gewinne!$O52-Gewinne!D52)/Gewinne!$O52</f>
        <v>1</v>
      </c>
      <c r="E52" s="1">
        <f>(Gewinne!$O52-Gewinne!E52)/Gewinne!$O52</f>
        <v>-0.984375</v>
      </c>
      <c r="F52" s="1">
        <f>(Gewinne!$O52-Gewinne!F52)/Gewinne!$O52</f>
        <v>-0.984375</v>
      </c>
      <c r="G52" s="1">
        <f>(Gewinne!$O52-Gewinne!G52)/Gewinne!$O52</f>
        <v>-0.984375</v>
      </c>
      <c r="H52" s="1">
        <f>(Gewinne!$O52-Gewinne!H52)/Gewinne!$O52</f>
        <v>-0.984375</v>
      </c>
      <c r="I52" s="1">
        <f>(Gewinne!$O52-Gewinne!I52)/Gewinne!$O52</f>
        <v>-0.984375</v>
      </c>
      <c r="J52" s="1">
        <f>(Gewinne!$O52-Gewinne!J52)/Gewinne!$O52</f>
        <v>-0.984375</v>
      </c>
      <c r="K52" s="1">
        <f>(Gewinne!$O52-Gewinne!K52)/Gewinne!$O52</f>
        <v>0</v>
      </c>
      <c r="L52" s="1">
        <f>(Gewinne!$O52-Gewinne!L52)/Gewinne!$O52</f>
        <v>-0.984375</v>
      </c>
      <c r="M52" s="1">
        <f>(Gewinne!$O52-Gewinne!M52)/Gewinne!$O52</f>
        <v>-0.984375</v>
      </c>
      <c r="N52" s="1">
        <f>(Gewinne!$O52-Gewinne!N52)/Gewinne!$O52</f>
        <v>-0.984375</v>
      </c>
      <c r="O52" s="1"/>
    </row>
    <row r="53" spans="2:15" x14ac:dyDescent="0.25">
      <c r="B53" t="s">
        <v>63</v>
      </c>
      <c r="C53" s="1">
        <f>(Gewinne!$O53-Gewinne!C53)/Gewinne!$O53</f>
        <v>-0.14682114469654645</v>
      </c>
      <c r="D53" s="1">
        <f>(Gewinne!$O53-Gewinne!D53)/Gewinne!$O53</f>
        <v>0.73044623773725004</v>
      </c>
      <c r="E53" s="1">
        <f>(Gewinne!$O53-Gewinne!E53)/Gewinne!$O53</f>
        <v>0.28647662388753753</v>
      </c>
      <c r="F53" s="1">
        <f>(Gewinne!$O53-Gewinne!F53)/Gewinne!$O53</f>
        <v>-9.0105166868637732E-2</v>
      </c>
      <c r="G53" s="1">
        <f>(Gewinne!$O53-Gewinne!G53)/Gewinne!$O53</f>
        <v>-0.14682109529877457</v>
      </c>
      <c r="H53" s="1">
        <f>(Gewinne!$O53-Gewinne!H53)/Gewinne!$O53</f>
        <v>-0.13447165229817212</v>
      </c>
      <c r="I53" s="1">
        <f>(Gewinne!$O53-Gewinne!I53)/Gewinne!$O53</f>
        <v>-0.13447165229817212</v>
      </c>
      <c r="J53" s="1">
        <f>(Gewinne!$O53-Gewinne!J53)/Gewinne!$O53</f>
        <v>-0.13447165229817212</v>
      </c>
      <c r="K53" s="1">
        <f>(Gewinne!$O53-Gewinne!K53)/Gewinne!$O53</f>
        <v>0</v>
      </c>
      <c r="L53" s="1">
        <f>(Gewinne!$O53-Gewinne!L53)/Gewinne!$O53</f>
        <v>-0.14682109529877457</v>
      </c>
      <c r="M53" s="1">
        <f>(Gewinne!$O53-Gewinne!M53)/Gewinne!$O53</f>
        <v>-0.14682109529877457</v>
      </c>
      <c r="N53" s="1">
        <f>(Gewinne!$O53-Gewinne!N53)/Gewinne!$O53</f>
        <v>-0.14682109529877457</v>
      </c>
      <c r="O53" s="1"/>
    </row>
    <row r="54" spans="2:15" x14ac:dyDescent="0.25">
      <c r="B54" t="s">
        <v>64</v>
      </c>
      <c r="C54" s="1">
        <f>(Gewinne!$O54-Gewinne!C54)/Gewinne!$O54</f>
        <v>-0.48224982326983146</v>
      </c>
      <c r="D54" s="1">
        <f>(Gewinne!$O54-Gewinne!D54)/Gewinne!$O54</f>
        <v>0.74401925819852111</v>
      </c>
      <c r="E54" s="1">
        <f>(Gewinne!$O54-Gewinne!E54)/Gewinne!$O54</f>
        <v>-0.21275702466960253</v>
      </c>
      <c r="F54" s="1">
        <f>(Gewinne!$O54-Gewinne!F54)/Gewinne!$O54</f>
        <v>-7.5115314307370867E-2</v>
      </c>
      <c r="G54" s="1">
        <f>(Gewinne!$O54-Gewinne!G54)/Gewinne!$O54</f>
        <v>-0.48224925591776568</v>
      </c>
      <c r="H54" s="1">
        <f>(Gewinne!$O54-Gewinne!H54)/Gewinne!$O54</f>
        <v>-0.48224925591776568</v>
      </c>
      <c r="I54" s="1">
        <f>(Gewinne!$O54-Gewinne!I54)/Gewinne!$O54</f>
        <v>-0.48224925591776568</v>
      </c>
      <c r="J54" s="1">
        <f>(Gewinne!$O54-Gewinne!J54)/Gewinne!$O54</f>
        <v>-0.48224925591776568</v>
      </c>
      <c r="K54" s="1">
        <f>(Gewinne!$O54-Gewinne!K54)/Gewinne!$O54</f>
        <v>0</v>
      </c>
      <c r="L54" s="1">
        <f>(Gewinne!$O54-Gewinne!L54)/Gewinne!$O54</f>
        <v>-0.48224925591776568</v>
      </c>
      <c r="M54" s="1">
        <f>(Gewinne!$O54-Gewinne!M54)/Gewinne!$O54</f>
        <v>-0.46806545427312557</v>
      </c>
      <c r="N54" s="1">
        <f>(Gewinne!$O54-Gewinne!N54)/Gewinne!$O54</f>
        <v>-0.48224925591776568</v>
      </c>
      <c r="O54" s="1"/>
    </row>
    <row r="55" spans="2:15" x14ac:dyDescent="0.25">
      <c r="B55" t="s">
        <v>65</v>
      </c>
      <c r="C55" s="1">
        <f>(Gewinne!$O55-Gewinne!C55)/Gewinne!$O55</f>
        <v>-0.3331990815261765</v>
      </c>
      <c r="D55" s="1">
        <f>(Gewinne!$O55-Gewinne!D55)/Gewinne!$O55</f>
        <v>0.40673579381110564</v>
      </c>
      <c r="E55" s="1">
        <f>(Gewinne!$O55-Gewinne!E55)/Gewinne!$O55</f>
        <v>-0.19643944377356545</v>
      </c>
      <c r="F55" s="1">
        <f>(Gewinne!$O55-Gewinne!F55)/Gewinne!$O55</f>
        <v>-0.14353639090114656</v>
      </c>
      <c r="G55" s="1">
        <f>(Gewinne!$O55-Gewinne!G55)/Gewinne!$O55</f>
        <v>-0.32480275925072449</v>
      </c>
      <c r="H55" s="1">
        <f>(Gewinne!$O55-Gewinne!H55)/Gewinne!$O55</f>
        <v>-0.30770787718489689</v>
      </c>
      <c r="I55" s="1">
        <f>(Gewinne!$O55-Gewinne!I55)/Gewinne!$O55</f>
        <v>-0.32480275925072449</v>
      </c>
      <c r="J55" s="1">
        <f>(Gewinne!$O55-Gewinne!J55)/Gewinne!$O55</f>
        <v>-0.31549664735172922</v>
      </c>
      <c r="K55" s="1">
        <f>(Gewinne!$O55-Gewinne!K55)/Gewinne!$O55</f>
        <v>0</v>
      </c>
      <c r="L55" s="1">
        <f>(Gewinne!$O55-Gewinne!L55)/Gewinne!$O55</f>
        <v>-0.32480275925072449</v>
      </c>
      <c r="M55" s="1">
        <f>(Gewinne!$O55-Gewinne!M55)/Gewinne!$O55</f>
        <v>-0.33319850030018627</v>
      </c>
      <c r="N55" s="1">
        <f>(Gewinne!$O55-Gewinne!N55)/Gewinne!$O55</f>
        <v>-0.33319850030018627</v>
      </c>
      <c r="O55" s="1"/>
    </row>
    <row r="56" spans="2:15" x14ac:dyDescent="0.25">
      <c r="B56" t="s">
        <v>66</v>
      </c>
      <c r="C56" s="1" t="e">
        <f>(Gewinne!$O56-Gewinne!C56)/Gewinne!$O56</f>
        <v>#DIV/0!</v>
      </c>
      <c r="D56" s="1" t="e">
        <f>(Gewinne!$O56-Gewinne!D56)/Gewinne!$O56</f>
        <v>#DIV/0!</v>
      </c>
      <c r="E56" s="1" t="e">
        <f>(Gewinne!$O56-Gewinne!E56)/Gewinne!$O56</f>
        <v>#DIV/0!</v>
      </c>
      <c r="F56" s="1" t="e">
        <f>(Gewinne!$O56-Gewinne!F56)/Gewinne!$O56</f>
        <v>#DIV/0!</v>
      </c>
      <c r="G56" s="1" t="e">
        <f>(Gewinne!$O56-Gewinne!G56)/Gewinne!$O56</f>
        <v>#DIV/0!</v>
      </c>
      <c r="H56" s="1" t="e">
        <f>(Gewinne!$O56-Gewinne!H56)/Gewinne!$O56</f>
        <v>#DIV/0!</v>
      </c>
      <c r="I56" s="1" t="e">
        <f>(Gewinne!$O56-Gewinne!I56)/Gewinne!$O56</f>
        <v>#DIV/0!</v>
      </c>
      <c r="J56" s="1" t="e">
        <f>(Gewinne!$O56-Gewinne!J56)/Gewinne!$O56</f>
        <v>#DIV/0!</v>
      </c>
      <c r="K56" s="1" t="e">
        <f>(Gewinne!$O56-Gewinne!K56)/Gewinne!$O56</f>
        <v>#DIV/0!</v>
      </c>
      <c r="L56" s="1" t="e">
        <f>(Gewinne!$O56-Gewinne!L56)/Gewinne!$O56</f>
        <v>#DIV/0!</v>
      </c>
      <c r="M56" s="1" t="e">
        <f>(Gewinne!$O56-Gewinne!M56)/Gewinne!$O56</f>
        <v>#DIV/0!</v>
      </c>
      <c r="N56" s="1" t="e">
        <f>(Gewinne!$O56-Gewinne!N56)/Gewinne!$O56</f>
        <v>#DIV/0!</v>
      </c>
      <c r="O56" s="1"/>
    </row>
    <row r="57" spans="2:15" x14ac:dyDescent="0.25">
      <c r="B57" t="s">
        <v>67</v>
      </c>
      <c r="C57" s="1" t="e">
        <f>(Gewinne!$O57-Gewinne!C57)/Gewinne!$O57</f>
        <v>#DIV/0!</v>
      </c>
      <c r="D57" s="1" t="e">
        <f>(Gewinne!$O57-Gewinne!D57)/Gewinne!$O57</f>
        <v>#DIV/0!</v>
      </c>
      <c r="E57" s="1" t="e">
        <f>(Gewinne!$O57-Gewinne!E57)/Gewinne!$O57</f>
        <v>#DIV/0!</v>
      </c>
      <c r="F57" s="1" t="e">
        <f>(Gewinne!$O57-Gewinne!F57)/Gewinne!$O57</f>
        <v>#DIV/0!</v>
      </c>
      <c r="G57" s="1" t="e">
        <f>(Gewinne!$O57-Gewinne!G57)/Gewinne!$O57</f>
        <v>#DIV/0!</v>
      </c>
      <c r="H57" s="1" t="e">
        <f>(Gewinne!$O57-Gewinne!H57)/Gewinne!$O57</f>
        <v>#DIV/0!</v>
      </c>
      <c r="I57" s="1" t="e">
        <f>(Gewinne!$O57-Gewinne!I57)/Gewinne!$O57</f>
        <v>#DIV/0!</v>
      </c>
      <c r="J57" s="1" t="e">
        <f>(Gewinne!$O57-Gewinne!J57)/Gewinne!$O57</f>
        <v>#DIV/0!</v>
      </c>
      <c r="K57" s="1" t="e">
        <f>(Gewinne!$O57-Gewinne!K57)/Gewinne!$O57</f>
        <v>#DIV/0!</v>
      </c>
      <c r="L57" s="1" t="e">
        <f>(Gewinne!$O57-Gewinne!L57)/Gewinne!$O57</f>
        <v>#DIV/0!</v>
      </c>
      <c r="M57" s="1" t="e">
        <f>(Gewinne!$O57-Gewinne!M57)/Gewinne!$O57</f>
        <v>#DIV/0!</v>
      </c>
      <c r="N57" s="1" t="e">
        <f>(Gewinne!$O57-Gewinne!N57)/Gewinne!$O57</f>
        <v>#DIV/0!</v>
      </c>
      <c r="O57" s="1"/>
    </row>
    <row r="58" spans="2:15" x14ac:dyDescent="0.25">
      <c r="B58" t="s">
        <v>68</v>
      </c>
      <c r="C58" s="1" t="e">
        <f>(Gewinne!$O58-Gewinne!C58)/Gewinne!$O58</f>
        <v>#DIV/0!</v>
      </c>
      <c r="D58" s="1" t="e">
        <f>(Gewinne!$O58-Gewinne!D58)/Gewinne!$O58</f>
        <v>#DIV/0!</v>
      </c>
      <c r="E58" s="1" t="e">
        <f>(Gewinne!$O58-Gewinne!E58)/Gewinne!$O58</f>
        <v>#DIV/0!</v>
      </c>
      <c r="F58" s="1" t="e">
        <f>(Gewinne!$O58-Gewinne!F58)/Gewinne!$O58</f>
        <v>#DIV/0!</v>
      </c>
      <c r="G58" s="1" t="e">
        <f>(Gewinne!$O58-Gewinne!G58)/Gewinne!$O58</f>
        <v>#DIV/0!</v>
      </c>
      <c r="H58" s="1" t="e">
        <f>(Gewinne!$O58-Gewinne!H58)/Gewinne!$O58</f>
        <v>#DIV/0!</v>
      </c>
      <c r="I58" s="1" t="e">
        <f>(Gewinne!$O58-Gewinne!I58)/Gewinne!$O58</f>
        <v>#DIV/0!</v>
      </c>
      <c r="J58" s="1" t="e">
        <f>(Gewinne!$O58-Gewinne!J58)/Gewinne!$O58</f>
        <v>#DIV/0!</v>
      </c>
      <c r="K58" s="1" t="e">
        <f>(Gewinne!$O58-Gewinne!K58)/Gewinne!$O58</f>
        <v>#DIV/0!</v>
      </c>
      <c r="L58" s="1" t="e">
        <f>(Gewinne!$O58-Gewinne!L58)/Gewinne!$O58</f>
        <v>#DIV/0!</v>
      </c>
      <c r="M58" s="1" t="e">
        <f>(Gewinne!$O58-Gewinne!M58)/Gewinne!$O58</f>
        <v>#DIV/0!</v>
      </c>
      <c r="N58" s="1" t="e">
        <f>(Gewinne!$O58-Gewinne!N58)/Gewinne!$O58</f>
        <v>#DIV/0!</v>
      </c>
      <c r="O58" s="1"/>
    </row>
    <row r="59" spans="2:15" x14ac:dyDescent="0.25">
      <c r="B59" t="s">
        <v>69</v>
      </c>
      <c r="C59" s="1" t="e">
        <f>(Gewinne!$O59-Gewinne!C59)/Gewinne!$O59</f>
        <v>#DIV/0!</v>
      </c>
      <c r="D59" s="1" t="e">
        <f>(Gewinne!$O59-Gewinne!D59)/Gewinne!$O59</f>
        <v>#DIV/0!</v>
      </c>
      <c r="E59" s="1" t="e">
        <f>(Gewinne!$O59-Gewinne!E59)/Gewinne!$O59</f>
        <v>#DIV/0!</v>
      </c>
      <c r="F59" s="1" t="e">
        <f>(Gewinne!$O59-Gewinne!F59)/Gewinne!$O59</f>
        <v>#DIV/0!</v>
      </c>
      <c r="G59" s="1" t="e">
        <f>(Gewinne!$O59-Gewinne!G59)/Gewinne!$O59</f>
        <v>#DIV/0!</v>
      </c>
      <c r="H59" s="1" t="e">
        <f>(Gewinne!$O59-Gewinne!H59)/Gewinne!$O59</f>
        <v>#DIV/0!</v>
      </c>
      <c r="I59" s="1" t="e">
        <f>(Gewinne!$O59-Gewinne!I59)/Gewinne!$O59</f>
        <v>#DIV/0!</v>
      </c>
      <c r="J59" s="1" t="e">
        <f>(Gewinne!$O59-Gewinne!J59)/Gewinne!$O59</f>
        <v>#DIV/0!</v>
      </c>
      <c r="K59" s="1" t="e">
        <f>(Gewinne!$O59-Gewinne!K59)/Gewinne!$O59</f>
        <v>#DIV/0!</v>
      </c>
      <c r="L59" s="1" t="e">
        <f>(Gewinne!$O59-Gewinne!L59)/Gewinne!$O59</f>
        <v>#DIV/0!</v>
      </c>
      <c r="M59" s="1" t="e">
        <f>(Gewinne!$O59-Gewinne!M59)/Gewinne!$O59</f>
        <v>#DIV/0!</v>
      </c>
      <c r="N59" s="1" t="e">
        <f>(Gewinne!$O59-Gewinne!N59)/Gewinne!$O59</f>
        <v>#DIV/0!</v>
      </c>
      <c r="O59" s="1"/>
    </row>
    <row r="60" spans="2:15" x14ac:dyDescent="0.25">
      <c r="B60" t="s">
        <v>70</v>
      </c>
      <c r="C60" s="1" t="e">
        <f>(Gewinne!$O60-Gewinne!C60)/Gewinne!$O60</f>
        <v>#DIV/0!</v>
      </c>
      <c r="D60" s="1" t="e">
        <f>(Gewinne!$O60-Gewinne!D60)/Gewinne!$O60</f>
        <v>#DIV/0!</v>
      </c>
      <c r="E60" s="1" t="e">
        <f>(Gewinne!$O60-Gewinne!E60)/Gewinne!$O60</f>
        <v>#DIV/0!</v>
      </c>
      <c r="F60" s="1" t="e">
        <f>(Gewinne!$O60-Gewinne!F60)/Gewinne!$O60</f>
        <v>#DIV/0!</v>
      </c>
      <c r="G60" s="1" t="e">
        <f>(Gewinne!$O60-Gewinne!G60)/Gewinne!$O60</f>
        <v>#DIV/0!</v>
      </c>
      <c r="H60" s="1" t="e">
        <f>(Gewinne!$O60-Gewinne!H60)/Gewinne!$O60</f>
        <v>#DIV/0!</v>
      </c>
      <c r="I60" s="1" t="e">
        <f>(Gewinne!$O60-Gewinne!I60)/Gewinne!$O60</f>
        <v>#DIV/0!</v>
      </c>
      <c r="J60" s="1" t="e">
        <f>(Gewinne!$O60-Gewinne!J60)/Gewinne!$O60</f>
        <v>#DIV/0!</v>
      </c>
      <c r="K60" s="1" t="e">
        <f>(Gewinne!$O60-Gewinne!K60)/Gewinne!$O60</f>
        <v>#DIV/0!</v>
      </c>
      <c r="L60" s="1" t="e">
        <f>(Gewinne!$O60-Gewinne!L60)/Gewinne!$O60</f>
        <v>#DIV/0!</v>
      </c>
      <c r="M60" s="1" t="e">
        <f>(Gewinne!$O60-Gewinne!M60)/Gewinne!$O60</f>
        <v>#DIV/0!</v>
      </c>
      <c r="N60" s="1" t="e">
        <f>(Gewinne!$O60-Gewinne!N60)/Gewinne!$O60</f>
        <v>#DIV/0!</v>
      </c>
      <c r="O60" s="1"/>
    </row>
    <row r="61" spans="2:15" x14ac:dyDescent="0.25">
      <c r="B61" t="s">
        <v>71</v>
      </c>
      <c r="C61" s="1" t="e">
        <f>(Gewinne!$O61-Gewinne!C61)/Gewinne!$O61</f>
        <v>#DIV/0!</v>
      </c>
      <c r="D61" s="1" t="e">
        <f>(Gewinne!$O61-Gewinne!D61)/Gewinne!$O61</f>
        <v>#DIV/0!</v>
      </c>
      <c r="E61" s="1" t="e">
        <f>(Gewinne!$O61-Gewinne!E61)/Gewinne!$O61</f>
        <v>#DIV/0!</v>
      </c>
      <c r="F61" s="1" t="e">
        <f>(Gewinne!$O61-Gewinne!F61)/Gewinne!$O61</f>
        <v>#DIV/0!</v>
      </c>
      <c r="G61" s="1" t="e">
        <f>(Gewinne!$O61-Gewinne!G61)/Gewinne!$O61</f>
        <v>#DIV/0!</v>
      </c>
      <c r="H61" s="1" t="e">
        <f>(Gewinne!$O61-Gewinne!H61)/Gewinne!$O61</f>
        <v>#DIV/0!</v>
      </c>
      <c r="I61" s="1" t="e">
        <f>(Gewinne!$O61-Gewinne!I61)/Gewinne!$O61</f>
        <v>#DIV/0!</v>
      </c>
      <c r="J61" s="1" t="e">
        <f>(Gewinne!$O61-Gewinne!J61)/Gewinne!$O61</f>
        <v>#DIV/0!</v>
      </c>
      <c r="K61" s="1" t="e">
        <f>(Gewinne!$O61-Gewinne!K61)/Gewinne!$O61</f>
        <v>#DIV/0!</v>
      </c>
      <c r="L61" s="1" t="e">
        <f>(Gewinne!$O61-Gewinne!L61)/Gewinne!$O61</f>
        <v>#DIV/0!</v>
      </c>
      <c r="M61" s="1" t="e">
        <f>(Gewinne!$O61-Gewinne!M61)/Gewinne!$O61</f>
        <v>#DIV/0!</v>
      </c>
      <c r="N61" s="1" t="e">
        <f>(Gewinne!$O61-Gewinne!N61)/Gewinne!$O61</f>
        <v>#DIV/0!</v>
      </c>
      <c r="O61" s="1"/>
    </row>
    <row r="62" spans="2:15" x14ac:dyDescent="0.25">
      <c r="B62" t="s">
        <v>72</v>
      </c>
      <c r="C62" s="1" t="e">
        <f>(Gewinne!$O62-Gewinne!C62)/Gewinne!$O62</f>
        <v>#DIV/0!</v>
      </c>
      <c r="D62" s="1" t="e">
        <f>(Gewinne!$O62-Gewinne!D62)/Gewinne!$O62</f>
        <v>#DIV/0!</v>
      </c>
      <c r="E62" s="1" t="e">
        <f>(Gewinne!$O62-Gewinne!E62)/Gewinne!$O62</f>
        <v>#DIV/0!</v>
      </c>
      <c r="F62" s="1" t="e">
        <f>(Gewinne!$O62-Gewinne!F62)/Gewinne!$O62</f>
        <v>#DIV/0!</v>
      </c>
      <c r="G62" s="1" t="e">
        <f>(Gewinne!$O62-Gewinne!G62)/Gewinne!$O62</f>
        <v>#DIV/0!</v>
      </c>
      <c r="H62" s="1" t="e">
        <f>(Gewinne!$O62-Gewinne!H62)/Gewinne!$O62</f>
        <v>#DIV/0!</v>
      </c>
      <c r="I62" s="1" t="e">
        <f>(Gewinne!$O62-Gewinne!I62)/Gewinne!$O62</f>
        <v>#DIV/0!</v>
      </c>
      <c r="J62" s="1" t="e">
        <f>(Gewinne!$O62-Gewinne!J62)/Gewinne!$O62</f>
        <v>#DIV/0!</v>
      </c>
      <c r="K62" s="1" t="e">
        <f>(Gewinne!$O62-Gewinne!K62)/Gewinne!$O62</f>
        <v>#DIV/0!</v>
      </c>
      <c r="L62" s="1" t="e">
        <f>(Gewinne!$O62-Gewinne!L62)/Gewinne!$O62</f>
        <v>#DIV/0!</v>
      </c>
      <c r="M62" s="1" t="e">
        <f>(Gewinne!$O62-Gewinne!M62)/Gewinne!$O62</f>
        <v>#DIV/0!</v>
      </c>
      <c r="N62" s="1" t="e">
        <f>(Gewinne!$O62-Gewinne!N62)/Gewinne!$O62</f>
        <v>#DIV/0!</v>
      </c>
      <c r="O62" s="1"/>
    </row>
    <row r="63" spans="2:15" x14ac:dyDescent="0.25">
      <c r="B63" t="s">
        <v>73</v>
      </c>
      <c r="C63" s="1" t="e">
        <f>(Gewinne!$O63-Gewinne!C63)/Gewinne!$O63</f>
        <v>#DIV/0!</v>
      </c>
      <c r="D63" s="1" t="e">
        <f>(Gewinne!$O63-Gewinne!D63)/Gewinne!$O63</f>
        <v>#DIV/0!</v>
      </c>
      <c r="E63" s="1" t="e">
        <f>(Gewinne!$O63-Gewinne!E63)/Gewinne!$O63</f>
        <v>#DIV/0!</v>
      </c>
      <c r="F63" s="1" t="e">
        <f>(Gewinne!$O63-Gewinne!F63)/Gewinne!$O63</f>
        <v>#DIV/0!</v>
      </c>
      <c r="G63" s="1" t="e">
        <f>(Gewinne!$O63-Gewinne!G63)/Gewinne!$O63</f>
        <v>#DIV/0!</v>
      </c>
      <c r="H63" s="1" t="e">
        <f>(Gewinne!$O63-Gewinne!H63)/Gewinne!$O63</f>
        <v>#DIV/0!</v>
      </c>
      <c r="I63" s="1" t="e">
        <f>(Gewinne!$O63-Gewinne!I63)/Gewinne!$O63</f>
        <v>#DIV/0!</v>
      </c>
      <c r="J63" s="1" t="e">
        <f>(Gewinne!$O63-Gewinne!J63)/Gewinne!$O63</f>
        <v>#DIV/0!</v>
      </c>
      <c r="K63" s="1" t="e">
        <f>(Gewinne!$O63-Gewinne!K63)/Gewinne!$O63</f>
        <v>#DIV/0!</v>
      </c>
      <c r="L63" s="1" t="e">
        <f>(Gewinne!$O63-Gewinne!L63)/Gewinne!$O63</f>
        <v>#DIV/0!</v>
      </c>
      <c r="M63" s="1" t="e">
        <f>(Gewinne!$O63-Gewinne!M63)/Gewinne!$O63</f>
        <v>#DIV/0!</v>
      </c>
      <c r="N63" s="1" t="e">
        <f>(Gewinne!$O63-Gewinne!N63)/Gewinne!$O63</f>
        <v>#DIV/0!</v>
      </c>
      <c r="O63" s="1"/>
    </row>
    <row r="64" spans="2:15" x14ac:dyDescent="0.25">
      <c r="B64" t="s">
        <v>74</v>
      </c>
      <c r="C64" s="1" t="e">
        <f>(Gewinne!$O64-Gewinne!C64)/Gewinne!$O64</f>
        <v>#DIV/0!</v>
      </c>
      <c r="D64" s="1" t="e">
        <f>(Gewinne!$O64-Gewinne!D64)/Gewinne!$O64</f>
        <v>#DIV/0!</v>
      </c>
      <c r="E64" s="1" t="e">
        <f>(Gewinne!$O64-Gewinne!E64)/Gewinne!$O64</f>
        <v>#DIV/0!</v>
      </c>
      <c r="F64" s="1" t="e">
        <f>(Gewinne!$O64-Gewinne!F64)/Gewinne!$O64</f>
        <v>#DIV/0!</v>
      </c>
      <c r="G64" s="1" t="e">
        <f>(Gewinne!$O64-Gewinne!G64)/Gewinne!$O64</f>
        <v>#DIV/0!</v>
      </c>
      <c r="H64" s="1" t="e">
        <f>(Gewinne!$O64-Gewinne!H64)/Gewinne!$O64</f>
        <v>#DIV/0!</v>
      </c>
      <c r="I64" s="1" t="e">
        <f>(Gewinne!$O64-Gewinne!I64)/Gewinne!$O64</f>
        <v>#DIV/0!</v>
      </c>
      <c r="J64" s="1" t="e">
        <f>(Gewinne!$O64-Gewinne!J64)/Gewinne!$O64</f>
        <v>#DIV/0!</v>
      </c>
      <c r="K64" s="1" t="e">
        <f>(Gewinne!$O64-Gewinne!K64)/Gewinne!$O64</f>
        <v>#DIV/0!</v>
      </c>
      <c r="L64" s="1" t="e">
        <f>(Gewinne!$O64-Gewinne!L64)/Gewinne!$O64</f>
        <v>#DIV/0!</v>
      </c>
      <c r="M64" s="1" t="e">
        <f>(Gewinne!$O64-Gewinne!M64)/Gewinne!$O64</f>
        <v>#DIV/0!</v>
      </c>
      <c r="N64" s="1" t="e">
        <f>(Gewinne!$O64-Gewinne!N64)/Gewinne!$O64</f>
        <v>#DIV/0!</v>
      </c>
      <c r="O64" s="1"/>
    </row>
    <row r="65" spans="2:15" x14ac:dyDescent="0.25">
      <c r="B65" t="s">
        <v>75</v>
      </c>
      <c r="C65" s="1" t="e">
        <f>(Gewinne!$O65-Gewinne!C65)/Gewinne!$O65</f>
        <v>#DIV/0!</v>
      </c>
      <c r="D65" s="1" t="e">
        <f>(Gewinne!$O65-Gewinne!D65)/Gewinne!$O65</f>
        <v>#DIV/0!</v>
      </c>
      <c r="E65" s="1" t="e">
        <f>(Gewinne!$O65-Gewinne!E65)/Gewinne!$O65</f>
        <v>#DIV/0!</v>
      </c>
      <c r="F65" s="1" t="e">
        <f>(Gewinne!$O65-Gewinne!F65)/Gewinne!$O65</f>
        <v>#DIV/0!</v>
      </c>
      <c r="G65" s="1" t="e">
        <f>(Gewinne!$O65-Gewinne!G65)/Gewinne!$O65</f>
        <v>#DIV/0!</v>
      </c>
      <c r="H65" s="1" t="e">
        <f>(Gewinne!$O65-Gewinne!H65)/Gewinne!$O65</f>
        <v>#DIV/0!</v>
      </c>
      <c r="I65" s="1" t="e">
        <f>(Gewinne!$O65-Gewinne!I65)/Gewinne!$O65</f>
        <v>#DIV/0!</v>
      </c>
      <c r="J65" s="1" t="e">
        <f>(Gewinne!$O65-Gewinne!J65)/Gewinne!$O65</f>
        <v>#DIV/0!</v>
      </c>
      <c r="K65" s="1" t="e">
        <f>(Gewinne!$O65-Gewinne!K65)/Gewinne!$O65</f>
        <v>#DIV/0!</v>
      </c>
      <c r="L65" s="1" t="e">
        <f>(Gewinne!$O65-Gewinne!L65)/Gewinne!$O65</f>
        <v>#DIV/0!</v>
      </c>
      <c r="M65" s="1" t="e">
        <f>(Gewinne!$O65-Gewinne!M65)/Gewinne!$O65</f>
        <v>#DIV/0!</v>
      </c>
      <c r="N65" s="1" t="e">
        <f>(Gewinne!$O65-Gewinne!N65)/Gewinne!$O65</f>
        <v>#DIV/0!</v>
      </c>
      <c r="O65" s="1"/>
    </row>
    <row r="66" spans="2:15" x14ac:dyDescent="0.25">
      <c r="B66" t="s">
        <v>76</v>
      </c>
      <c r="C66" s="1" t="e">
        <f>(Gewinne!$O66-Gewinne!C66)/Gewinne!$O66</f>
        <v>#DIV/0!</v>
      </c>
      <c r="D66" s="1" t="e">
        <f>(Gewinne!$O66-Gewinne!D66)/Gewinne!$O66</f>
        <v>#DIV/0!</v>
      </c>
      <c r="E66" s="1" t="e">
        <f>(Gewinne!$O66-Gewinne!E66)/Gewinne!$O66</f>
        <v>#DIV/0!</v>
      </c>
      <c r="F66" s="1" t="e">
        <f>(Gewinne!$O66-Gewinne!F66)/Gewinne!$O66</f>
        <v>#DIV/0!</v>
      </c>
      <c r="G66" s="1" t="e">
        <f>(Gewinne!$O66-Gewinne!G66)/Gewinne!$O66</f>
        <v>#DIV/0!</v>
      </c>
      <c r="H66" s="1" t="e">
        <f>(Gewinne!$O66-Gewinne!H66)/Gewinne!$O66</f>
        <v>#DIV/0!</v>
      </c>
      <c r="I66" s="1" t="e">
        <f>(Gewinne!$O66-Gewinne!I66)/Gewinne!$O66</f>
        <v>#DIV/0!</v>
      </c>
      <c r="J66" s="1" t="e">
        <f>(Gewinne!$O66-Gewinne!J66)/Gewinne!$O66</f>
        <v>#DIV/0!</v>
      </c>
      <c r="K66" s="1" t="e">
        <f>(Gewinne!$O66-Gewinne!K66)/Gewinne!$O66</f>
        <v>#DIV/0!</v>
      </c>
      <c r="L66" s="1" t="e">
        <f>(Gewinne!$O66-Gewinne!L66)/Gewinne!$O66</f>
        <v>#DIV/0!</v>
      </c>
      <c r="M66" s="1" t="e">
        <f>(Gewinne!$O66-Gewinne!M66)/Gewinne!$O66</f>
        <v>#DIV/0!</v>
      </c>
      <c r="N66" s="1" t="e">
        <f>(Gewinne!$O66-Gewinne!N66)/Gewinne!$O66</f>
        <v>#DIV/0!</v>
      </c>
      <c r="O66" s="1"/>
    </row>
    <row r="67" spans="2:15" x14ac:dyDescent="0.25">
      <c r="B67" t="s">
        <v>77</v>
      </c>
      <c r="C67" s="1" t="e">
        <f>(Gewinne!$O67-Gewinne!C67)/Gewinne!$O67</f>
        <v>#DIV/0!</v>
      </c>
      <c r="D67" s="1" t="e">
        <f>(Gewinne!$O67-Gewinne!D67)/Gewinne!$O67</f>
        <v>#DIV/0!</v>
      </c>
      <c r="E67" s="1" t="e">
        <f>(Gewinne!$O67-Gewinne!E67)/Gewinne!$O67</f>
        <v>#DIV/0!</v>
      </c>
      <c r="F67" s="1" t="e">
        <f>(Gewinne!$O67-Gewinne!F67)/Gewinne!$O67</f>
        <v>#DIV/0!</v>
      </c>
      <c r="G67" s="1" t="e">
        <f>(Gewinne!$O67-Gewinne!G67)/Gewinne!$O67</f>
        <v>#DIV/0!</v>
      </c>
      <c r="H67" s="1" t="e">
        <f>(Gewinne!$O67-Gewinne!H67)/Gewinne!$O67</f>
        <v>#DIV/0!</v>
      </c>
      <c r="I67" s="1" t="e">
        <f>(Gewinne!$O67-Gewinne!I67)/Gewinne!$O67</f>
        <v>#DIV/0!</v>
      </c>
      <c r="J67" s="1" t="e">
        <f>(Gewinne!$O67-Gewinne!J67)/Gewinne!$O67</f>
        <v>#DIV/0!</v>
      </c>
      <c r="K67" s="1" t="e">
        <f>(Gewinne!$O67-Gewinne!K67)/Gewinne!$O67</f>
        <v>#DIV/0!</v>
      </c>
      <c r="L67" s="1" t="e">
        <f>(Gewinne!$O67-Gewinne!L67)/Gewinne!$O67</f>
        <v>#DIV/0!</v>
      </c>
      <c r="M67" s="1" t="e">
        <f>(Gewinne!$O67-Gewinne!M67)/Gewinne!$O67</f>
        <v>#DIV/0!</v>
      </c>
      <c r="N67" s="1" t="e">
        <f>(Gewinne!$O67-Gewinne!N67)/Gewinne!$O67</f>
        <v>#DIV/0!</v>
      </c>
      <c r="O67" s="1"/>
    </row>
    <row r="68" spans="2:15" x14ac:dyDescent="0.25">
      <c r="B68" t="s">
        <v>78</v>
      </c>
      <c r="C68" s="1" t="e">
        <f>(Gewinne!$O68-Gewinne!C68)/Gewinne!$O68</f>
        <v>#DIV/0!</v>
      </c>
      <c r="D68" s="1" t="e">
        <f>(Gewinne!$O68-Gewinne!D68)/Gewinne!$O68</f>
        <v>#DIV/0!</v>
      </c>
      <c r="E68" s="1" t="e">
        <f>(Gewinne!$O68-Gewinne!E68)/Gewinne!$O68</f>
        <v>#DIV/0!</v>
      </c>
      <c r="F68" s="1" t="e">
        <f>(Gewinne!$O68-Gewinne!F68)/Gewinne!$O68</f>
        <v>#DIV/0!</v>
      </c>
      <c r="G68" s="1" t="e">
        <f>(Gewinne!$O68-Gewinne!G68)/Gewinne!$O68</f>
        <v>#DIV/0!</v>
      </c>
      <c r="H68" s="1" t="e">
        <f>(Gewinne!$O68-Gewinne!H68)/Gewinne!$O68</f>
        <v>#DIV/0!</v>
      </c>
      <c r="I68" s="1" t="e">
        <f>(Gewinne!$O68-Gewinne!I68)/Gewinne!$O68</f>
        <v>#DIV/0!</v>
      </c>
      <c r="J68" s="1" t="e">
        <f>(Gewinne!$O68-Gewinne!J68)/Gewinne!$O68</f>
        <v>#DIV/0!</v>
      </c>
      <c r="K68" s="1" t="e">
        <f>(Gewinne!$O68-Gewinne!K68)/Gewinne!$O68</f>
        <v>#DIV/0!</v>
      </c>
      <c r="L68" s="1" t="e">
        <f>(Gewinne!$O68-Gewinne!L68)/Gewinne!$O68</f>
        <v>#DIV/0!</v>
      </c>
      <c r="M68" s="1" t="e">
        <f>(Gewinne!$O68-Gewinne!M68)/Gewinne!$O68</f>
        <v>#DIV/0!</v>
      </c>
      <c r="N68" s="1" t="e">
        <f>(Gewinne!$O68-Gewinne!N68)/Gewinne!$O68</f>
        <v>#DIV/0!</v>
      </c>
      <c r="O68" s="1"/>
    </row>
    <row r="69" spans="2:15" x14ac:dyDescent="0.25">
      <c r="B69" t="s">
        <v>79</v>
      </c>
      <c r="C69" s="1" t="e">
        <f>(Gewinne!$O69-Gewinne!C69)/Gewinne!$O69</f>
        <v>#DIV/0!</v>
      </c>
      <c r="D69" s="1" t="e">
        <f>(Gewinne!$O69-Gewinne!D69)/Gewinne!$O69</f>
        <v>#DIV/0!</v>
      </c>
      <c r="E69" s="1" t="e">
        <f>(Gewinne!$O69-Gewinne!E69)/Gewinne!$O69</f>
        <v>#DIV/0!</v>
      </c>
      <c r="F69" s="1" t="e">
        <f>(Gewinne!$O69-Gewinne!F69)/Gewinne!$O69</f>
        <v>#DIV/0!</v>
      </c>
      <c r="G69" s="1" t="e">
        <f>(Gewinne!$O69-Gewinne!G69)/Gewinne!$O69</f>
        <v>#DIV/0!</v>
      </c>
      <c r="H69" s="1" t="e">
        <f>(Gewinne!$O69-Gewinne!H69)/Gewinne!$O69</f>
        <v>#DIV/0!</v>
      </c>
      <c r="I69" s="1" t="e">
        <f>(Gewinne!$O69-Gewinne!I69)/Gewinne!$O69</f>
        <v>#DIV/0!</v>
      </c>
      <c r="J69" s="1" t="e">
        <f>(Gewinne!$O69-Gewinne!J69)/Gewinne!$O69</f>
        <v>#DIV/0!</v>
      </c>
      <c r="K69" s="1" t="e">
        <f>(Gewinne!$O69-Gewinne!K69)/Gewinne!$O69</f>
        <v>#DIV/0!</v>
      </c>
      <c r="L69" s="1" t="e">
        <f>(Gewinne!$O69-Gewinne!L69)/Gewinne!$O69</f>
        <v>#DIV/0!</v>
      </c>
      <c r="M69" s="1" t="e">
        <f>(Gewinne!$O69-Gewinne!M69)/Gewinne!$O69</f>
        <v>#DIV/0!</v>
      </c>
      <c r="N69" s="1" t="e">
        <f>(Gewinne!$O69-Gewinne!N69)/Gewinne!$O69</f>
        <v>#DIV/0!</v>
      </c>
      <c r="O69" s="1"/>
    </row>
    <row r="70" spans="2:15" x14ac:dyDescent="0.25">
      <c r="B70" t="s">
        <v>80</v>
      </c>
      <c r="C70" s="1" t="e">
        <f>(Gewinne!$O70-Gewinne!C70)/Gewinne!$O70</f>
        <v>#DIV/0!</v>
      </c>
      <c r="D70" s="1" t="e">
        <f>(Gewinne!$O70-Gewinne!D70)/Gewinne!$O70</f>
        <v>#DIV/0!</v>
      </c>
      <c r="E70" s="1" t="e">
        <f>(Gewinne!$O70-Gewinne!E70)/Gewinne!$O70</f>
        <v>#DIV/0!</v>
      </c>
      <c r="F70" s="1" t="e">
        <f>(Gewinne!$O70-Gewinne!F70)/Gewinne!$O70</f>
        <v>#DIV/0!</v>
      </c>
      <c r="G70" s="1" t="e">
        <f>(Gewinne!$O70-Gewinne!G70)/Gewinne!$O70</f>
        <v>#DIV/0!</v>
      </c>
      <c r="H70" s="1" t="e">
        <f>(Gewinne!$O70-Gewinne!H70)/Gewinne!$O70</f>
        <v>#DIV/0!</v>
      </c>
      <c r="I70" s="1" t="e">
        <f>(Gewinne!$O70-Gewinne!I70)/Gewinne!$O70</f>
        <v>#DIV/0!</v>
      </c>
      <c r="J70" s="1" t="e">
        <f>(Gewinne!$O70-Gewinne!J70)/Gewinne!$O70</f>
        <v>#DIV/0!</v>
      </c>
      <c r="K70" s="1" t="e">
        <f>(Gewinne!$O70-Gewinne!K70)/Gewinne!$O70</f>
        <v>#DIV/0!</v>
      </c>
      <c r="L70" s="1" t="e">
        <f>(Gewinne!$O70-Gewinne!L70)/Gewinne!$O70</f>
        <v>#DIV/0!</v>
      </c>
      <c r="M70" s="1" t="e">
        <f>(Gewinne!$O70-Gewinne!M70)/Gewinne!$O70</f>
        <v>#DIV/0!</v>
      </c>
      <c r="N70" s="1" t="e">
        <f>(Gewinne!$O70-Gewinne!N70)/Gewinne!$O70</f>
        <v>#DIV/0!</v>
      </c>
      <c r="O70" s="1"/>
    </row>
    <row r="71" spans="2:15" x14ac:dyDescent="0.25">
      <c r="B71" t="s">
        <v>81</v>
      </c>
      <c r="C71" s="1" t="e">
        <f>(Gewinne!$O71-Gewinne!C71)/Gewinne!$O71</f>
        <v>#DIV/0!</v>
      </c>
      <c r="D71" s="1" t="e">
        <f>(Gewinne!$O71-Gewinne!D71)/Gewinne!$O71</f>
        <v>#DIV/0!</v>
      </c>
      <c r="E71" s="1" t="e">
        <f>(Gewinne!$O71-Gewinne!E71)/Gewinne!$O71</f>
        <v>#DIV/0!</v>
      </c>
      <c r="F71" s="1" t="e">
        <f>(Gewinne!$O71-Gewinne!F71)/Gewinne!$O71</f>
        <v>#DIV/0!</v>
      </c>
      <c r="G71" s="1" t="e">
        <f>(Gewinne!$O71-Gewinne!G71)/Gewinne!$O71</f>
        <v>#DIV/0!</v>
      </c>
      <c r="H71" s="1" t="e">
        <f>(Gewinne!$O71-Gewinne!H71)/Gewinne!$O71</f>
        <v>#DIV/0!</v>
      </c>
      <c r="I71" s="1" t="e">
        <f>(Gewinne!$O71-Gewinne!I71)/Gewinne!$O71</f>
        <v>#DIV/0!</v>
      </c>
      <c r="J71" s="1" t="e">
        <f>(Gewinne!$O71-Gewinne!J71)/Gewinne!$O71</f>
        <v>#DIV/0!</v>
      </c>
      <c r="K71" s="1" t="e">
        <f>(Gewinne!$O71-Gewinne!K71)/Gewinne!$O71</f>
        <v>#DIV/0!</v>
      </c>
      <c r="L71" s="1" t="e">
        <f>(Gewinne!$O71-Gewinne!L71)/Gewinne!$O71</f>
        <v>#DIV/0!</v>
      </c>
      <c r="M71" s="1" t="e">
        <f>(Gewinne!$O71-Gewinne!M71)/Gewinne!$O71</f>
        <v>#DIV/0!</v>
      </c>
      <c r="N71" s="1" t="e">
        <f>(Gewinne!$O71-Gewinne!N71)/Gewinne!$O71</f>
        <v>#DIV/0!</v>
      </c>
      <c r="O71" s="1"/>
    </row>
    <row r="72" spans="2:15" x14ac:dyDescent="0.25">
      <c r="B72" t="s">
        <v>82</v>
      </c>
      <c r="C72" s="1" t="e">
        <f>(Gewinne!$O72-Gewinne!C72)/Gewinne!$O72</f>
        <v>#DIV/0!</v>
      </c>
      <c r="D72" s="1" t="e">
        <f>(Gewinne!$O72-Gewinne!D72)/Gewinne!$O72</f>
        <v>#DIV/0!</v>
      </c>
      <c r="E72" s="1" t="e">
        <f>(Gewinne!$O72-Gewinne!E72)/Gewinne!$O72</f>
        <v>#DIV/0!</v>
      </c>
      <c r="F72" s="1" t="e">
        <f>(Gewinne!$O72-Gewinne!F72)/Gewinne!$O72</f>
        <v>#DIV/0!</v>
      </c>
      <c r="G72" s="1" t="e">
        <f>(Gewinne!$O72-Gewinne!G72)/Gewinne!$O72</f>
        <v>#DIV/0!</v>
      </c>
      <c r="H72" s="1" t="e">
        <f>(Gewinne!$O72-Gewinne!H72)/Gewinne!$O72</f>
        <v>#DIV/0!</v>
      </c>
      <c r="I72" s="1" t="e">
        <f>(Gewinne!$O72-Gewinne!I72)/Gewinne!$O72</f>
        <v>#DIV/0!</v>
      </c>
      <c r="J72" s="1" t="e">
        <f>(Gewinne!$O72-Gewinne!J72)/Gewinne!$O72</f>
        <v>#DIV/0!</v>
      </c>
      <c r="K72" s="1" t="e">
        <f>(Gewinne!$O72-Gewinne!K72)/Gewinne!$O72</f>
        <v>#DIV/0!</v>
      </c>
      <c r="L72" s="1" t="e">
        <f>(Gewinne!$O72-Gewinne!L72)/Gewinne!$O72</f>
        <v>#DIV/0!</v>
      </c>
      <c r="M72" s="1" t="e">
        <f>(Gewinne!$O72-Gewinne!M72)/Gewinne!$O72</f>
        <v>#DIV/0!</v>
      </c>
      <c r="N72" s="1" t="e">
        <f>(Gewinne!$O72-Gewinne!N72)/Gewinne!$O72</f>
        <v>#DIV/0!</v>
      </c>
      <c r="O72" s="1"/>
    </row>
    <row r="73" spans="2:15" x14ac:dyDescent="0.25">
      <c r="B73" t="s">
        <v>83</v>
      </c>
      <c r="C73" s="1" t="e">
        <f>(Gewinne!$O73-Gewinne!C73)/Gewinne!$O73</f>
        <v>#DIV/0!</v>
      </c>
      <c r="D73" s="1" t="e">
        <f>(Gewinne!$O73-Gewinne!D73)/Gewinne!$O73</f>
        <v>#DIV/0!</v>
      </c>
      <c r="E73" s="1" t="e">
        <f>(Gewinne!$O73-Gewinne!E73)/Gewinne!$O73</f>
        <v>#DIV/0!</v>
      </c>
      <c r="F73" s="1" t="e">
        <f>(Gewinne!$O73-Gewinne!F73)/Gewinne!$O73</f>
        <v>#DIV/0!</v>
      </c>
      <c r="G73" s="1" t="e">
        <f>(Gewinne!$O73-Gewinne!G73)/Gewinne!$O73</f>
        <v>#DIV/0!</v>
      </c>
      <c r="H73" s="1" t="e">
        <f>(Gewinne!$O73-Gewinne!H73)/Gewinne!$O73</f>
        <v>#DIV/0!</v>
      </c>
      <c r="I73" s="1" t="e">
        <f>(Gewinne!$O73-Gewinne!I73)/Gewinne!$O73</f>
        <v>#DIV/0!</v>
      </c>
      <c r="J73" s="1" t="e">
        <f>(Gewinne!$O73-Gewinne!J73)/Gewinne!$O73</f>
        <v>#DIV/0!</v>
      </c>
      <c r="K73" s="1" t="e">
        <f>(Gewinne!$O73-Gewinne!K73)/Gewinne!$O73</f>
        <v>#DIV/0!</v>
      </c>
      <c r="L73" s="1" t="e">
        <f>(Gewinne!$O73-Gewinne!L73)/Gewinne!$O73</f>
        <v>#DIV/0!</v>
      </c>
      <c r="M73" s="1" t="e">
        <f>(Gewinne!$O73-Gewinne!M73)/Gewinne!$O73</f>
        <v>#DIV/0!</v>
      </c>
      <c r="N73" s="1" t="e">
        <f>(Gewinne!$O73-Gewinne!N73)/Gewinne!$O73</f>
        <v>#DIV/0!</v>
      </c>
      <c r="O73" s="1"/>
    </row>
    <row r="74" spans="2:15" x14ac:dyDescent="0.25">
      <c r="B74" t="s">
        <v>84</v>
      </c>
      <c r="C74" s="1" t="e">
        <f>(Gewinne!$O74-Gewinne!C74)/Gewinne!$O74</f>
        <v>#DIV/0!</v>
      </c>
      <c r="D74" s="1" t="e">
        <f>(Gewinne!$O74-Gewinne!D74)/Gewinne!$O74</f>
        <v>#DIV/0!</v>
      </c>
      <c r="E74" s="1" t="e">
        <f>(Gewinne!$O74-Gewinne!E74)/Gewinne!$O74</f>
        <v>#DIV/0!</v>
      </c>
      <c r="F74" s="1" t="e">
        <f>(Gewinne!$O74-Gewinne!F74)/Gewinne!$O74</f>
        <v>#DIV/0!</v>
      </c>
      <c r="G74" s="1" t="e">
        <f>(Gewinne!$O74-Gewinne!G74)/Gewinne!$O74</f>
        <v>#DIV/0!</v>
      </c>
      <c r="H74" s="1" t="e">
        <f>(Gewinne!$O74-Gewinne!H74)/Gewinne!$O74</f>
        <v>#DIV/0!</v>
      </c>
      <c r="I74" s="1" t="e">
        <f>(Gewinne!$O74-Gewinne!I74)/Gewinne!$O74</f>
        <v>#DIV/0!</v>
      </c>
      <c r="J74" s="1" t="e">
        <f>(Gewinne!$O74-Gewinne!J74)/Gewinne!$O74</f>
        <v>#DIV/0!</v>
      </c>
      <c r="K74" s="1" t="e">
        <f>(Gewinne!$O74-Gewinne!K74)/Gewinne!$O74</f>
        <v>#DIV/0!</v>
      </c>
      <c r="L74" s="1" t="e">
        <f>(Gewinne!$O74-Gewinne!L74)/Gewinne!$O74</f>
        <v>#DIV/0!</v>
      </c>
      <c r="M74" s="1" t="e">
        <f>(Gewinne!$O74-Gewinne!M74)/Gewinne!$O74</f>
        <v>#DIV/0!</v>
      </c>
      <c r="N74" s="1" t="e">
        <f>(Gewinne!$O74-Gewinne!N74)/Gewinne!$O74</f>
        <v>#DIV/0!</v>
      </c>
      <c r="O74" s="1"/>
    </row>
    <row r="75" spans="2:15" x14ac:dyDescent="0.25">
      <c r="B75" t="s">
        <v>85</v>
      </c>
      <c r="C75" s="1">
        <f>(Gewinne!$O75-Gewinne!C75)/Gewinne!$O75</f>
        <v>-0.25915437579074374</v>
      </c>
      <c r="D75" s="1">
        <f>(Gewinne!$O75-Gewinne!D75)/Gewinne!$O75</f>
        <v>1</v>
      </c>
      <c r="E75" s="1">
        <f>(Gewinne!$O75-Gewinne!E75)/Gewinne!$O75</f>
        <v>9.7832338750148393E-2</v>
      </c>
      <c r="F75" s="1">
        <f>(Gewinne!$O75-Gewinne!F75)/Gewinne!$O75</f>
        <v>0.14654551853245962</v>
      </c>
      <c r="G75" s="1">
        <f>(Gewinne!$O75-Gewinne!G75)/Gewinne!$O75</f>
        <v>-0.24900540699123544</v>
      </c>
      <c r="H75" s="1">
        <f>(Gewinne!$O75-Gewinne!H75)/Gewinne!$O75</f>
        <v>-0.19038718386013956</v>
      </c>
      <c r="I75" s="1">
        <f>(Gewinne!$O75-Gewinne!I75)/Gewinne!$O75</f>
        <v>-0.20971012697130173</v>
      </c>
      <c r="J75" s="1">
        <f>(Gewinne!$O75-Gewinne!J75)/Gewinne!$O75</f>
        <v>-0.25915392389502356</v>
      </c>
      <c r="K75" s="1">
        <f>(Gewinne!$O75-Gewinne!K75)/Gewinne!$O75</f>
        <v>0</v>
      </c>
      <c r="L75" s="1">
        <f>(Gewinne!$O75-Gewinne!L75)/Gewinne!$O75</f>
        <v>-0.24900540699123544</v>
      </c>
      <c r="M75" s="1">
        <f>(Gewinne!$O75-Gewinne!M75)/Gewinne!$O75</f>
        <v>-0.25915392389502356</v>
      </c>
      <c r="N75" s="1">
        <f>(Gewinne!$O75-Gewinne!N75)/Gewinne!$O75</f>
        <v>-0.25915392389502356</v>
      </c>
      <c r="O75" s="1"/>
    </row>
    <row r="76" spans="2:15" x14ac:dyDescent="0.25">
      <c r="B76" t="s">
        <v>86</v>
      </c>
      <c r="C76" s="1">
        <f>(Gewinne!$O76-Gewinne!C76)/Gewinne!$O76</f>
        <v>-1.3198861906513371</v>
      </c>
      <c r="D76" s="1">
        <f>(Gewinne!$O76-Gewinne!D76)/Gewinne!$O76</f>
        <v>0.3666968187233714</v>
      </c>
      <c r="E76" s="1">
        <f>(Gewinne!$O76-Gewinne!E76)/Gewinne!$O76</f>
        <v>-0.89857271954539597</v>
      </c>
      <c r="F76" s="1">
        <f>(Gewinne!$O76-Gewinne!F76)/Gewinne!$O76</f>
        <v>-1.0582301695965197</v>
      </c>
      <c r="G76" s="1">
        <f>(Gewinne!$O76-Gewinne!G76)/Gewinne!$O76</f>
        <v>-1.2264508184171576</v>
      </c>
      <c r="H76" s="1">
        <f>(Gewinne!$O76-Gewinne!H76)/Gewinne!$O76</f>
        <v>-1.2285441572177511</v>
      </c>
      <c r="I76" s="1">
        <f>(Gewinne!$O76-Gewinne!I76)/Gewinne!$O76</f>
        <v>-1.2264508184171576</v>
      </c>
      <c r="J76" s="1">
        <f>(Gewinne!$O76-Gewinne!J76)/Gewinne!$O76</f>
        <v>-1.3198857506894199</v>
      </c>
      <c r="K76" s="1">
        <f>(Gewinne!$O76-Gewinne!K76)/Gewinne!$O76</f>
        <v>0</v>
      </c>
      <c r="L76" s="1">
        <f>(Gewinne!$O76-Gewinne!L76)/Gewinne!$O76</f>
        <v>-1.2264508184171576</v>
      </c>
      <c r="M76" s="1">
        <f>(Gewinne!$O76-Gewinne!M76)/Gewinne!$O76</f>
        <v>-1.3198857506894199</v>
      </c>
      <c r="N76" s="1">
        <f>(Gewinne!$O76-Gewinne!N76)/Gewinne!$O76</f>
        <v>-1.2835393968298103</v>
      </c>
      <c r="O76" s="1"/>
    </row>
    <row r="77" spans="2:15" x14ac:dyDescent="0.25">
      <c r="B77" t="s">
        <v>87</v>
      </c>
      <c r="C77" s="1">
        <f>(Gewinne!$O77-Gewinne!C77)/Gewinne!$O77</f>
        <v>-0.74361999999999995</v>
      </c>
      <c r="D77" s="1">
        <f>(Gewinne!$O77-Gewinne!D77)/Gewinne!$O77</f>
        <v>1</v>
      </c>
      <c r="E77" s="1">
        <f>(Gewinne!$O77-Gewinne!E77)/Gewinne!$O77</f>
        <v>0.6248971333333333</v>
      </c>
      <c r="F77" s="1">
        <f>(Gewinne!$O77-Gewinne!F77)/Gewinne!$O77</f>
        <v>-0.29053496666666662</v>
      </c>
      <c r="G77" s="1">
        <f>(Gewinne!$O77-Gewinne!G77)/Gewinne!$O77</f>
        <v>-0.62592596666666678</v>
      </c>
      <c r="H77" s="1">
        <f>(Gewinne!$O77-Gewinne!H77)/Gewinne!$O77</f>
        <v>-0.70781899999999998</v>
      </c>
      <c r="I77" s="1">
        <f>(Gewinne!$O77-Gewinne!I77)/Gewinne!$O77</f>
        <v>-0.74362143333333341</v>
      </c>
      <c r="J77" s="1">
        <f>(Gewinne!$O77-Gewinne!J77)/Gewinne!$O77</f>
        <v>-0.74362143333333341</v>
      </c>
      <c r="K77" s="1">
        <f>(Gewinne!$O77-Gewinne!K77)/Gewinne!$O77</f>
        <v>0</v>
      </c>
      <c r="L77" s="1">
        <f>(Gewinne!$O77-Gewinne!L77)/Gewinne!$O77</f>
        <v>-0.62592596666666678</v>
      </c>
      <c r="M77" s="1">
        <f>(Gewinne!$O77-Gewinne!M77)/Gewinne!$O77</f>
        <v>-0.74362143333333341</v>
      </c>
      <c r="N77" s="1">
        <f>(Gewinne!$O77-Gewinne!N77)/Gewinne!$O77</f>
        <v>-0.7</v>
      </c>
      <c r="O77" s="1"/>
    </row>
    <row r="78" spans="2:15" x14ac:dyDescent="0.25">
      <c r="B78" t="s">
        <v>88</v>
      </c>
      <c r="C78" s="1">
        <f>(Gewinne!$O78-Gewinne!C78)/Gewinne!$O78</f>
        <v>-0.8554913294797688</v>
      </c>
      <c r="D78" s="1">
        <f>(Gewinne!$O78-Gewinne!D78)/Gewinne!$O78</f>
        <v>1</v>
      </c>
      <c r="E78" s="1">
        <f>(Gewinne!$O78-Gewinne!E78)/Gewinne!$O78</f>
        <v>-0.36885840462427738</v>
      </c>
      <c r="F78" s="1">
        <f>(Gewinne!$O78-Gewinne!F78)/Gewinne!$O78</f>
        <v>-0.8554913294797688</v>
      </c>
      <c r="G78" s="1">
        <f>(Gewinne!$O78-Gewinne!G78)/Gewinne!$O78</f>
        <v>-0.8554913294797688</v>
      </c>
      <c r="H78" s="1">
        <f>(Gewinne!$O78-Gewinne!H78)/Gewinne!$O78</f>
        <v>-0.80924855491329484</v>
      </c>
      <c r="I78" s="1">
        <f>(Gewinne!$O78-Gewinne!I78)/Gewinne!$O78</f>
        <v>-0.8554913294797688</v>
      </c>
      <c r="J78" s="1">
        <f>(Gewinne!$O78-Gewinne!J78)/Gewinne!$O78</f>
        <v>-0.8554913294797688</v>
      </c>
      <c r="K78" s="1">
        <f>(Gewinne!$O78-Gewinne!K78)/Gewinne!$O78</f>
        <v>0</v>
      </c>
      <c r="L78" s="1">
        <f>(Gewinne!$O78-Gewinne!L78)/Gewinne!$O78</f>
        <v>-0.8554913294797688</v>
      </c>
      <c r="M78" s="1">
        <f>(Gewinne!$O78-Gewinne!M78)/Gewinne!$O78</f>
        <v>-0.8554913294797688</v>
      </c>
      <c r="N78" s="1">
        <f>(Gewinne!$O78-Gewinne!N78)/Gewinne!$O78</f>
        <v>-0.8554913294797688</v>
      </c>
      <c r="O78" s="1"/>
    </row>
    <row r="79" spans="2:15" x14ac:dyDescent="0.25">
      <c r="B79" t="s">
        <v>89</v>
      </c>
      <c r="C79" s="1">
        <f>(Gewinne!$O79-Gewinne!C79)/Gewinne!$O79</f>
        <v>-0.34941632653061233</v>
      </c>
      <c r="D79" s="1">
        <f>(Gewinne!$O79-Gewinne!D79)/Gewinne!$O79</f>
        <v>0.84861904761904761</v>
      </c>
      <c r="E79" s="1">
        <f>(Gewinne!$O79-Gewinne!E79)/Gewinne!$O79</f>
        <v>-0.20718903401360536</v>
      </c>
      <c r="F79" s="1">
        <f>(Gewinne!$O79-Gewinne!F79)/Gewinne!$O79</f>
        <v>-0.23204839455782303</v>
      </c>
      <c r="G79" s="1">
        <f>(Gewinne!$O79-Gewinne!G79)/Gewinne!$O79</f>
        <v>-0.34261357823129246</v>
      </c>
      <c r="H79" s="1">
        <f>(Gewinne!$O79-Gewinne!H79)/Gewinne!$O79</f>
        <v>-0.34261357823129246</v>
      </c>
      <c r="I79" s="1">
        <f>(Gewinne!$O79-Gewinne!I79)/Gewinne!$O79</f>
        <v>-0.33581085714285708</v>
      </c>
      <c r="J79" s="1">
        <f>(Gewinne!$O79-Gewinne!J79)/Gewinne!$O79</f>
        <v>-0.34941629931972784</v>
      </c>
      <c r="K79" s="1">
        <f>(Gewinne!$O79-Gewinne!K79)/Gewinne!$O79</f>
        <v>4.0816326530612242E-2</v>
      </c>
      <c r="L79" s="1">
        <f>(Gewinne!$O79-Gewinne!L79)/Gewinne!$O79</f>
        <v>-0.34261357823129246</v>
      </c>
      <c r="M79" s="1">
        <f>(Gewinne!$O79-Gewinne!M79)/Gewinne!$O79</f>
        <v>-0.34941629931972784</v>
      </c>
      <c r="N79" s="1">
        <f>(Gewinne!$O79-Gewinne!N79)/Gewinne!$O79</f>
        <v>-0.34261357823129246</v>
      </c>
      <c r="O79" s="1"/>
    </row>
    <row r="80" spans="2:15" x14ac:dyDescent="0.25">
      <c r="B80" t="s">
        <v>90</v>
      </c>
      <c r="C80" s="1">
        <f>(Gewinne!$O80-Gewinne!C80)/Gewinne!$O80</f>
        <v>-0.42316427240969817</v>
      </c>
      <c r="D80" s="1">
        <f>(Gewinne!$O80-Gewinne!D80)/Gewinne!$O80</f>
        <v>1</v>
      </c>
      <c r="E80" s="1">
        <f>(Gewinne!$O80-Gewinne!E80)/Gewinne!$O80</f>
        <v>-0.35435781116909398</v>
      </c>
      <c r="F80" s="1">
        <f>(Gewinne!$O80-Gewinne!F80)/Gewinne!$O80</f>
        <v>1.3761468394916272E-2</v>
      </c>
      <c r="G80" s="1">
        <f>(Gewinne!$O80-Gewinne!G80)/Gewinne!$O80</f>
        <v>-0.42316515314367537</v>
      </c>
      <c r="H80" s="1">
        <f>(Gewinne!$O80-Gewinne!H80)/Gewinne!$O80</f>
        <v>-0.36811927956401025</v>
      </c>
      <c r="I80" s="1">
        <f>(Gewinne!$O80-Gewinne!I80)/Gewinne!$O80</f>
        <v>-0.38188074795892657</v>
      </c>
      <c r="J80" s="1">
        <f>(Gewinne!$O80-Gewinne!J80)/Gewinne!$O80</f>
        <v>-0.38904821611186119</v>
      </c>
      <c r="K80" s="1">
        <f>(Gewinne!$O80-Gewinne!K80)/Gewinne!$O80</f>
        <v>3.0963303888561611E-2</v>
      </c>
      <c r="L80" s="1">
        <f>(Gewinne!$O80-Gewinne!L80)/Gewinne!$O80</f>
        <v>-0.42316515314367537</v>
      </c>
      <c r="M80" s="1">
        <f>(Gewinne!$O80-Gewinne!M80)/Gewinne!$O80</f>
        <v>-0.42316515314367537</v>
      </c>
      <c r="N80" s="1">
        <f>(Gewinne!$O80-Gewinne!N80)/Gewinne!$O80</f>
        <v>-0.42316515314367537</v>
      </c>
      <c r="O80" s="1"/>
    </row>
    <row r="81" spans="2:15" x14ac:dyDescent="0.25">
      <c r="B81" t="s">
        <v>91</v>
      </c>
      <c r="C81" s="1">
        <f>(Gewinne!$O81-Gewinne!C81)/Gewinne!$O81</f>
        <v>-1.0731452759878668</v>
      </c>
      <c r="D81" s="1">
        <f>(Gewinne!$O81-Gewinne!D81)/Gewinne!$O81</f>
        <v>0.41818565789074408</v>
      </c>
      <c r="E81" s="1">
        <f>(Gewinne!$O81-Gewinne!E81)/Gewinne!$O81</f>
        <v>-1.073146744242728</v>
      </c>
      <c r="F81" s="1">
        <f>(Gewinne!$O81-Gewinne!F81)/Gewinne!$O81</f>
        <v>-0.84017574765984671</v>
      </c>
      <c r="G81" s="1">
        <f>(Gewinne!$O81-Gewinne!G81)/Gewinne!$O81</f>
        <v>-1.073146744242728</v>
      </c>
      <c r="H81" s="1">
        <f>(Gewinne!$O81-Gewinne!H81)/Gewinne!$O81</f>
        <v>-1.0119694583412049</v>
      </c>
      <c r="I81" s="1">
        <f>(Gewinne!$O81-Gewinne!I81)/Gewinne!$O81</f>
        <v>-1.073146744242728</v>
      </c>
      <c r="J81" s="1">
        <f>(Gewinne!$O81-Gewinne!J81)/Gewinne!$O81</f>
        <v>-1.0400138603258942</v>
      </c>
      <c r="K81" s="1">
        <f>(Gewinne!$O81-Gewinne!K81)/Gewinne!$O81</f>
        <v>0</v>
      </c>
      <c r="L81" s="1">
        <f>(Gewinne!$O81-Gewinne!L81)/Gewinne!$O81</f>
        <v>-1.073146744242728</v>
      </c>
      <c r="M81" s="1">
        <f>(Gewinne!$O81-Gewinne!M81)/Gewinne!$O81</f>
        <v>-0.93489072757901437</v>
      </c>
      <c r="N81" s="1">
        <f>(Gewinne!$O81-Gewinne!N81)/Gewinne!$O81</f>
        <v>-1.073146744242728</v>
      </c>
      <c r="O81" s="1"/>
    </row>
    <row r="82" spans="2:15" x14ac:dyDescent="0.25">
      <c r="B82" t="s">
        <v>92</v>
      </c>
      <c r="C82" s="1">
        <f>(Gewinne!$O82-Gewinne!C82)/Gewinne!$O82</f>
        <v>-2.0376432078559739</v>
      </c>
      <c r="D82" s="1">
        <f>(Gewinne!$O82-Gewinne!D82)/Gewinne!$O82</f>
        <v>-1.0351476268412441</v>
      </c>
      <c r="E82" s="1">
        <f>(Gewinne!$O82-Gewinne!E82)/Gewinne!$O82</f>
        <v>-1.2193126022913257</v>
      </c>
      <c r="F82" s="1">
        <f>(Gewinne!$O82-Gewinne!F82)/Gewinne!$O82</f>
        <v>-2.0376432078559739</v>
      </c>
      <c r="G82" s="1">
        <f>(Gewinne!$O82-Gewinne!G82)/Gewinne!$O82</f>
        <v>-2.0376432078559739</v>
      </c>
      <c r="H82" s="1">
        <f>(Gewinne!$O82-Gewinne!H82)/Gewinne!$O82</f>
        <v>-1.8854337152209493</v>
      </c>
      <c r="I82" s="1">
        <f>(Gewinne!$O82-Gewinne!I82)/Gewinne!$O82</f>
        <v>-2.0376432078559739</v>
      </c>
      <c r="J82" s="1">
        <f>(Gewinne!$O82-Gewinne!J82)/Gewinne!$O82</f>
        <v>-1.9901800327332242</v>
      </c>
      <c r="K82" s="1">
        <f>(Gewinne!$O82-Gewinne!K82)/Gewinne!$O82</f>
        <v>0</v>
      </c>
      <c r="L82" s="1">
        <f>(Gewinne!$O82-Gewinne!L82)/Gewinne!$O82</f>
        <v>-2.0376432078559739</v>
      </c>
      <c r="M82" s="1">
        <f>(Gewinne!$O82-Gewinne!M82)/Gewinne!$O82</f>
        <v>-2.0376432078559739</v>
      </c>
      <c r="N82" s="1">
        <f>(Gewinne!$O82-Gewinne!N82)/Gewinne!$O82</f>
        <v>-2.0376432078559739</v>
      </c>
      <c r="O82" s="1"/>
    </row>
    <row r="83" spans="2:15" x14ac:dyDescent="0.25">
      <c r="B83" t="s">
        <v>93</v>
      </c>
      <c r="C83" s="1">
        <f>(Gewinne!$O83-Gewinne!C83)/Gewinne!$O83</f>
        <v>-3</v>
      </c>
      <c r="D83" s="1">
        <f>(Gewinne!$O83-Gewinne!D83)/Gewinne!$O83</f>
        <v>1</v>
      </c>
      <c r="E83" s="1">
        <f>(Gewinne!$O83-Gewinne!E83)/Gewinne!$O83</f>
        <v>-2.4857142857142858</v>
      </c>
      <c r="F83" s="1">
        <f>(Gewinne!$O83-Gewinne!F83)/Gewinne!$O83</f>
        <v>-1.2222222285714286</v>
      </c>
      <c r="G83" s="1">
        <f>(Gewinne!$O83-Gewinne!G83)/Gewinne!$O83</f>
        <v>-3</v>
      </c>
      <c r="H83" s="1">
        <f>(Gewinne!$O83-Gewinne!H83)/Gewinne!$O83</f>
        <v>-2.8857142857142857</v>
      </c>
      <c r="I83" s="1">
        <f>(Gewinne!$O83-Gewinne!I83)/Gewinne!$O83</f>
        <v>-3</v>
      </c>
      <c r="J83" s="1">
        <f>(Gewinne!$O83-Gewinne!J83)/Gewinne!$O83</f>
        <v>-2.9428571428571431</v>
      </c>
      <c r="K83" s="1">
        <f>(Gewinne!$O83-Gewinne!K83)/Gewinne!$O83</f>
        <v>0</v>
      </c>
      <c r="L83" s="1">
        <f>(Gewinne!$O83-Gewinne!L83)/Gewinne!$O83</f>
        <v>-3</v>
      </c>
      <c r="M83" s="1">
        <f>(Gewinne!$O83-Gewinne!M83)/Gewinne!$O83</f>
        <v>-3</v>
      </c>
      <c r="N83" s="1">
        <f>(Gewinne!$O83-Gewinne!N83)/Gewinne!$O83</f>
        <v>-3</v>
      </c>
      <c r="O83" s="1"/>
    </row>
    <row r="84" spans="2:15" x14ac:dyDescent="0.25">
      <c r="B84" t="s">
        <v>94</v>
      </c>
      <c r="C84" s="1">
        <f>(Gewinne!$O84-Gewinne!C84)/Gewinne!$O84</f>
        <v>-0.45821131719852348</v>
      </c>
      <c r="D84" s="1">
        <f>(Gewinne!$O84-Gewinne!D84)/Gewinne!$O84</f>
        <v>0.52802461087755559</v>
      </c>
      <c r="E84" s="1">
        <f>(Gewinne!$O84-Gewinne!E84)/Gewinne!$O84</f>
        <v>-0.29203528013157593</v>
      </c>
      <c r="F84" s="1">
        <f>(Gewinne!$O84-Gewinne!F84)/Gewinne!$O84</f>
        <v>-3.2448355937268379E-2</v>
      </c>
      <c r="G84" s="1">
        <f>(Gewinne!$O84-Gewinne!G84)/Gewinne!$O84</f>
        <v>-0.42772850489757402</v>
      </c>
      <c r="H84" s="1">
        <f>(Gewinne!$O84-Gewinne!H84)/Gewinne!$O84</f>
        <v>-0.40707952090567334</v>
      </c>
      <c r="I84" s="1">
        <f>(Gewinne!$O84-Gewinne!I84)/Gewinne!$O84</f>
        <v>-0.41494581147822984</v>
      </c>
      <c r="J84" s="1">
        <f>(Gewinne!$O84-Gewinne!J84)/Gewinne!$O84</f>
        <v>-0.45821029458304996</v>
      </c>
      <c r="K84" s="1">
        <f>(Gewinne!$O84-Gewinne!K84)/Gewinne!$O84</f>
        <v>0</v>
      </c>
      <c r="L84" s="1">
        <f>(Gewinne!$O84-Gewinne!L84)/Gewinne!$O84</f>
        <v>-0.42772850489757402</v>
      </c>
      <c r="M84" s="1">
        <f>(Gewinne!$O84-Gewinne!M84)/Gewinne!$O84</f>
        <v>-0.44542760116370583</v>
      </c>
      <c r="N84" s="1">
        <f>(Gewinne!$O84-Gewinne!N84)/Gewinne!$O84</f>
        <v>-0.44542760116370583</v>
      </c>
      <c r="O84" s="1"/>
    </row>
    <row r="85" spans="2:15" x14ac:dyDescent="0.25">
      <c r="B85" t="s">
        <v>95</v>
      </c>
      <c r="C85" s="1">
        <f>(Gewinne!$O85-Gewinne!C85)/Gewinne!$O85</f>
        <v>-0.31423107241963144</v>
      </c>
      <c r="D85" s="1">
        <f>(Gewinne!$O85-Gewinne!D85)/Gewinne!$O85</f>
        <v>0.53723291463913958</v>
      </c>
      <c r="E85" s="1">
        <f>(Gewinne!$O85-Gewinne!E85)/Gewinne!$O85</f>
        <v>1.2827928849172738E-2</v>
      </c>
      <c r="F85" s="1">
        <f>(Gewinne!$O85-Gewinne!F85)/Gewinne!$O85</f>
        <v>0.45272490097910656</v>
      </c>
      <c r="G85" s="1">
        <f>(Gewinne!$O85-Gewinne!G85)/Gewinne!$O85</f>
        <v>-0.34926384845003861</v>
      </c>
      <c r="H85" s="1">
        <f>(Gewinne!$O85-Gewinne!H85)/Gewinne!$O85</f>
        <v>-0.37590842360999782</v>
      </c>
      <c r="I85" s="1">
        <f>(Gewinne!$O85-Gewinne!I85)/Gewinne!$O85</f>
        <v>-0.37223700265530518</v>
      </c>
      <c r="J85" s="1">
        <f>(Gewinne!$O85-Gewinne!J85)/Gewinne!$O85</f>
        <v>-0.39237001241423042</v>
      </c>
      <c r="K85" s="1">
        <f>(Gewinne!$O85-Gewinne!K85)/Gewinne!$O85</f>
        <v>5.0165643194141941E-2</v>
      </c>
      <c r="L85" s="1">
        <f>(Gewinne!$O85-Gewinne!L85)/Gewinne!$O85</f>
        <v>-0.32797214500375593</v>
      </c>
      <c r="M85" s="1">
        <f>(Gewinne!$O85-Gewinne!M85)/Gewinne!$O85</f>
        <v>-0.40099124520706875</v>
      </c>
      <c r="N85" s="1">
        <f>(Gewinne!$O85-Gewinne!N85)/Gewinne!$O85</f>
        <v>-0.29926830217889921</v>
      </c>
      <c r="O85" s="1"/>
    </row>
    <row r="86" spans="2:15" x14ac:dyDescent="0.25">
      <c r="B86" t="s">
        <v>96</v>
      </c>
      <c r="C86" s="1">
        <f>(Gewinne!$O86-Gewinne!C86)/Gewinne!$O86</f>
        <v>-0.59204375331516401</v>
      </c>
      <c r="D86" s="1">
        <f>(Gewinne!$O86-Gewinne!D86)/Gewinne!$O86</f>
        <v>0.86184105716858439</v>
      </c>
      <c r="E86" s="1">
        <f>(Gewinne!$O86-Gewinne!E86)/Gewinne!$O86</f>
        <v>-0.30865998852173204</v>
      </c>
      <c r="F86" s="1">
        <f>(Gewinne!$O86-Gewinne!F86)/Gewinne!$O86</f>
        <v>-0.25313077114258931</v>
      </c>
      <c r="G86" s="1">
        <f>(Gewinne!$O86-Gewinne!G86)/Gewinne!$O86</f>
        <v>-0.55352659704768314</v>
      </c>
      <c r="H86" s="1">
        <f>(Gewinne!$O86-Gewinne!H86)/Gewinne!$O86</f>
        <v>-0.59936057637818108</v>
      </c>
      <c r="I86" s="1">
        <f>(Gewinne!$O86-Gewinne!I86)/Gewinne!$O86</f>
        <v>-0.50249878109896351</v>
      </c>
      <c r="J86" s="1">
        <f>(Gewinne!$O86-Gewinne!J86)/Gewinne!$O86</f>
        <v>-0.56074044884213037</v>
      </c>
      <c r="K86" s="1">
        <f>(Gewinne!$O86-Gewinne!K86)/Gewinne!$O86</f>
        <v>0.17719499353070972</v>
      </c>
      <c r="L86" s="1">
        <f>(Gewinne!$O86-Gewinne!L86)/Gewinne!$O86</f>
        <v>-0.6504691152783928</v>
      </c>
      <c r="M86" s="1">
        <f>(Gewinne!$O86-Gewinne!M86)/Gewinne!$O86</f>
        <v>-0.68681535220852596</v>
      </c>
      <c r="N86" s="1">
        <f>(Gewinne!$O86-Gewinne!N86)/Gewinne!$O86</f>
        <v>-0.68681535220852596</v>
      </c>
      <c r="O86" s="1"/>
    </row>
    <row r="87" spans="2:15" x14ac:dyDescent="0.25">
      <c r="B87" t="s">
        <v>97</v>
      </c>
      <c r="C87" s="1">
        <f>(Gewinne!$O87-Gewinne!C87)/Gewinne!$O87</f>
        <v>-5.6415942471671546E-2</v>
      </c>
      <c r="D87" s="1">
        <f>(Gewinne!$O87-Gewinne!D87)/Gewinne!$O87</f>
        <v>1</v>
      </c>
      <c r="E87" s="1">
        <f>(Gewinne!$O87-Gewinne!E87)/Gewinne!$O87</f>
        <v>-0.13690910726611227</v>
      </c>
      <c r="F87" s="1">
        <f>(Gewinne!$O87-Gewinne!F87)/Gewinne!$O87</f>
        <v>1</v>
      </c>
      <c r="G87" s="1">
        <f>(Gewinne!$O87-Gewinne!G87)/Gewinne!$O87</f>
        <v>-0.28675372760378592</v>
      </c>
      <c r="H87" s="1">
        <f>(Gewinne!$O87-Gewinne!H87)/Gewinne!$O87</f>
        <v>-0.36502353020987482</v>
      </c>
      <c r="I87" s="1">
        <f>(Gewinne!$O87-Gewinne!I87)/Gewinne!$O87</f>
        <v>-0.35418511420121235</v>
      </c>
      <c r="J87" s="1">
        <f>(Gewinne!$O87-Gewinne!J87)/Gewinne!$O87</f>
        <v>-0.36633736511241383</v>
      </c>
      <c r="K87" s="1">
        <f>(Gewinne!$O87-Gewinne!K87)/Gewinne!$O87</f>
        <v>3.5673615633246017E-2</v>
      </c>
      <c r="L87" s="1">
        <f>(Gewinne!$O87-Gewinne!L87)/Gewinne!$O87</f>
        <v>-0.37770645618507492</v>
      </c>
      <c r="M87" s="1">
        <f>(Gewinne!$O87-Gewinne!M87)/Gewinne!$O87</f>
        <v>-0.37123875081020402</v>
      </c>
      <c r="N87" s="1">
        <f>(Gewinne!$O87-Gewinne!N87)/Gewinne!$O87</f>
        <v>-0.35244182325249479</v>
      </c>
      <c r="O87" s="1"/>
    </row>
    <row r="88" spans="2:15" x14ac:dyDescent="0.25">
      <c r="B88" t="s">
        <v>98</v>
      </c>
      <c r="C88" s="1">
        <f>(Gewinne!$O88-Gewinne!C88)/Gewinne!$O88</f>
        <v>-0.3739953818681172</v>
      </c>
      <c r="D88" s="1">
        <f>(Gewinne!$O88-Gewinne!D88)/Gewinne!$O88</f>
        <v>0.85253329357717345</v>
      </c>
      <c r="E88" s="1">
        <f>(Gewinne!$O88-Gewinne!E88)/Gewinne!$O88</f>
        <v>-1.6823836267593439E-2</v>
      </c>
      <c r="F88" s="1">
        <f>(Gewinne!$O88-Gewinne!F88)/Gewinne!$O88</f>
        <v>1</v>
      </c>
      <c r="G88" s="1">
        <f>(Gewinne!$O88-Gewinne!G88)/Gewinne!$O88</f>
        <v>-0.36987958464495319</v>
      </c>
      <c r="H88" s="1">
        <f>(Gewinne!$O88-Gewinne!H88)/Gewinne!$O88</f>
        <v>-0.33575451605015277</v>
      </c>
      <c r="I88" s="1">
        <f>(Gewinne!$O88-Gewinne!I88)/Gewinne!$O88</f>
        <v>-0.34092816309970086</v>
      </c>
      <c r="J88" s="1">
        <f>(Gewinne!$O88-Gewinne!J88)/Gewinne!$O88</f>
        <v>-0.38352961208287334</v>
      </c>
      <c r="K88" s="1">
        <f>(Gewinne!$O88-Gewinne!K88)/Gewinne!$O88</f>
        <v>0</v>
      </c>
      <c r="L88" s="1">
        <f>(Gewinne!$O88-Gewinne!L88)/Gewinne!$O88</f>
        <v>-0.37399525901787017</v>
      </c>
      <c r="M88" s="1">
        <f>(Gewinne!$O88-Gewinne!M88)/Gewinne!$O88</f>
        <v>-0.39717963952079349</v>
      </c>
      <c r="N88" s="1">
        <f>(Gewinne!$O88-Gewinne!N88)/Gewinne!$O88</f>
        <v>-0.39717963952079349</v>
      </c>
      <c r="O88" s="1"/>
    </row>
    <row r="89" spans="2:15" x14ac:dyDescent="0.25">
      <c r="B89" t="s">
        <v>99</v>
      </c>
      <c r="C89" s="1">
        <f>(Gewinne!$O89-Gewinne!C89)/Gewinne!$O89</f>
        <v>-7.7163004450615663E-2</v>
      </c>
      <c r="D89" s="1">
        <f>(Gewinne!$O89-Gewinne!D89)/Gewinne!$O89</f>
        <v>1</v>
      </c>
      <c r="E89" s="1">
        <f>(Gewinne!$O89-Gewinne!E89)/Gewinne!$O89</f>
        <v>5.2034597744572253E-2</v>
      </c>
      <c r="F89" s="1">
        <f>(Gewinne!$O89-Gewinne!F89)/Gewinne!$O89</f>
        <v>1</v>
      </c>
      <c r="G89" s="1">
        <f>(Gewinne!$O89-Gewinne!G89)/Gewinne!$O89</f>
        <v>-0.1741939482142317</v>
      </c>
      <c r="H89" s="1">
        <f>(Gewinne!$O89-Gewinne!H89)/Gewinne!$O89</f>
        <v>-0.14852509530898511</v>
      </c>
      <c r="I89" s="1">
        <f>(Gewinne!$O89-Gewinne!I89)/Gewinne!$O89</f>
        <v>-0.17082563719951607</v>
      </c>
      <c r="J89" s="1">
        <f>(Gewinne!$O89-Gewinne!J89)/Gewinne!$O89</f>
        <v>-0.17454239418127124</v>
      </c>
      <c r="K89" s="1">
        <f>(Gewinne!$O89-Gewinne!K89)/Gewinne!$O89</f>
        <v>8.3249550816910101E-2</v>
      </c>
      <c r="L89" s="1">
        <f>(Gewinne!$O89-Gewinne!L89)/Gewinne!$O89</f>
        <v>-0.15189340632370071</v>
      </c>
      <c r="M89" s="1">
        <f>(Gewinne!$O89-Gewinne!M89)/Gewinne!$O89</f>
        <v>-8.2810363944918058E-2</v>
      </c>
      <c r="N89" s="1">
        <f>(Gewinne!$O89-Gewinne!N89)/Gewinne!$O89</f>
        <v>-0.17270942344112103</v>
      </c>
      <c r="O89" s="1"/>
    </row>
    <row r="90" spans="2:15" x14ac:dyDescent="0.25">
      <c r="B90" t="s">
        <v>100</v>
      </c>
      <c r="C90" s="1">
        <f>(Gewinne!$O90-Gewinne!C90)/Gewinne!$O90</f>
        <v>-0.22916457352717218</v>
      </c>
      <c r="D90" s="1">
        <f>(Gewinne!$O90-Gewinne!D90)/Gewinne!$O90</f>
        <v>0.5882735374720941</v>
      </c>
      <c r="E90" s="1">
        <f>(Gewinne!$O90-Gewinne!E90)/Gewinne!$O90</f>
        <v>0.39651656565886351</v>
      </c>
      <c r="F90" s="1">
        <f>(Gewinne!$O90-Gewinne!F90)/Gewinne!$O90</f>
        <v>1</v>
      </c>
      <c r="G90" s="1">
        <f>(Gewinne!$O90-Gewinne!G90)/Gewinne!$O90</f>
        <v>-0.25500610841293575</v>
      </c>
      <c r="H90" s="1">
        <f>(Gewinne!$O90-Gewinne!H90)/Gewinne!$O90</f>
        <v>-0.23070205359890444</v>
      </c>
      <c r="I90" s="1">
        <f>(Gewinne!$O90-Gewinne!I90)/Gewinne!$O90</f>
        <v>-0.29493935937925542</v>
      </c>
      <c r="J90" s="1">
        <f>(Gewinne!$O90-Gewinne!J90)/Gewinne!$O90</f>
        <v>-0.26032195210454501</v>
      </c>
      <c r="K90" s="1">
        <f>(Gewinne!$O90-Gewinne!K90)/Gewinne!$O90</f>
        <v>0</v>
      </c>
      <c r="L90" s="1">
        <f>(Gewinne!$O90-Gewinne!L90)/Gewinne!$O90</f>
        <v>-0.26032195210454501</v>
      </c>
      <c r="M90" s="1">
        <f>(Gewinne!$O90-Gewinne!M90)/Gewinne!$O90</f>
        <v>-0.26981605766575623</v>
      </c>
      <c r="N90" s="1">
        <f>(Gewinne!$O90-Gewinne!N90)/Gewinne!$O90</f>
        <v>-0.26981605766575623</v>
      </c>
      <c r="O90" s="1"/>
    </row>
    <row r="91" spans="2:15" x14ac:dyDescent="0.25">
      <c r="B91" t="s">
        <v>101</v>
      </c>
      <c r="C91" s="1">
        <f>(Gewinne!$O91-Gewinne!C91)/Gewinne!$O91</f>
        <v>-0.23350402867961711</v>
      </c>
      <c r="D91" s="1">
        <f>(Gewinne!$O91-Gewinne!D91)/Gewinne!$O91</f>
        <v>1</v>
      </c>
      <c r="E91" s="1">
        <f>(Gewinne!$O91-Gewinne!E91)/Gewinne!$O91</f>
        <v>-0.12011552670343868</v>
      </c>
      <c r="F91" s="1">
        <f>(Gewinne!$O91-Gewinne!F91)/Gewinne!$O91</f>
        <v>0.46043236789095937</v>
      </c>
      <c r="G91" s="1">
        <f>(Gewinne!$O91-Gewinne!G91)/Gewinne!$O91</f>
        <v>-0.27706600300804135</v>
      </c>
      <c r="H91" s="1">
        <f>(Gewinne!$O91-Gewinne!H91)/Gewinne!$O91</f>
        <v>-0.27706600300804135</v>
      </c>
      <c r="I91" s="1">
        <f>(Gewinne!$O91-Gewinne!I91)/Gewinne!$O91</f>
        <v>-0.2260903625117289</v>
      </c>
      <c r="J91" s="1">
        <f>(Gewinne!$O91-Gewinne!J91)/Gewinne!$O91</f>
        <v>-0.30392507424182058</v>
      </c>
      <c r="K91" s="1">
        <f>(Gewinne!$O91-Gewinne!K91)/Gewinne!$O91</f>
        <v>0</v>
      </c>
      <c r="L91" s="1">
        <f>(Gewinne!$O91-Gewinne!L91)/Gewinne!$O91</f>
        <v>-0.27934569159021272</v>
      </c>
      <c r="M91" s="1">
        <f>(Gewinne!$O91-Gewinne!M91)/Gewinne!$O91</f>
        <v>-0.28525913055857732</v>
      </c>
      <c r="N91" s="1">
        <f>(Gewinne!$O91-Gewinne!N91)/Gewinne!$O91</f>
        <v>-0.3139350769854532</v>
      </c>
      <c r="O91" s="1"/>
    </row>
    <row r="92" spans="2:15" x14ac:dyDescent="0.25">
      <c r="B92" t="s">
        <v>102</v>
      </c>
      <c r="C92" s="1">
        <f>(Gewinne!$O92-Gewinne!C92)/Gewinne!$O92</f>
        <v>-0.29109474019090981</v>
      </c>
      <c r="D92" s="1">
        <f>(Gewinne!$O92-Gewinne!D92)/Gewinne!$O92</f>
        <v>1</v>
      </c>
      <c r="E92" s="1">
        <f>(Gewinne!$O92-Gewinne!E92)/Gewinne!$O92</f>
        <v>-2.9550976229170151E-2</v>
      </c>
      <c r="F92" s="1">
        <f>(Gewinne!$O92-Gewinne!F92)/Gewinne!$O92</f>
        <v>0.22751933783470057</v>
      </c>
      <c r="G92" s="1">
        <f>(Gewinne!$O92-Gewinne!G92)/Gewinne!$O92</f>
        <v>-0.26145672898435868</v>
      </c>
      <c r="H92" s="1">
        <f>(Gewinne!$O92-Gewinne!H92)/Gewinne!$O92</f>
        <v>-0.26200509422238594</v>
      </c>
      <c r="I92" s="1">
        <f>(Gewinne!$O92-Gewinne!I92)/Gewinne!$O92</f>
        <v>-0.20382663340620677</v>
      </c>
      <c r="J92" s="1">
        <f>(Gewinne!$O92-Gewinne!J92)/Gewinne!$O92</f>
        <v>-0.29089230408089572</v>
      </c>
      <c r="K92" s="1">
        <f>(Gewinne!$O92-Gewinne!K92)/Gewinne!$O92</f>
        <v>3.004151207714624E-2</v>
      </c>
      <c r="L92" s="1">
        <f>(Gewinne!$O92-Gewinne!L92)/Gewinne!$O92</f>
        <v>-0.28639035504843546</v>
      </c>
      <c r="M92" s="1">
        <f>(Gewinne!$O92-Gewinne!M92)/Gewinne!$O92</f>
        <v>-0.28509172869093147</v>
      </c>
      <c r="N92" s="1">
        <f>(Gewinne!$O92-Gewinne!N92)/Gewinne!$O92</f>
        <v>-0.29109432463047547</v>
      </c>
      <c r="O92" s="1"/>
    </row>
    <row r="93" spans="2:15" x14ac:dyDescent="0.25">
      <c r="B93" t="s">
        <v>103</v>
      </c>
      <c r="C93" s="1">
        <f>(Gewinne!$O93-Gewinne!C93)/Gewinne!$O93</f>
        <v>-0.16168556265350945</v>
      </c>
      <c r="D93" s="1">
        <f>(Gewinne!$O93-Gewinne!D93)/Gewinne!$O93</f>
        <v>1</v>
      </c>
      <c r="E93" s="1">
        <f>(Gewinne!$O93-Gewinne!E93)/Gewinne!$O93</f>
        <v>0.12315093826767622</v>
      </c>
      <c r="F93" s="1">
        <f>(Gewinne!$O93-Gewinne!F93)/Gewinne!$O93</f>
        <v>0.39759276933275844</v>
      </c>
      <c r="G93" s="1">
        <f>(Gewinne!$O93-Gewinne!G93)/Gewinne!$O93</f>
        <v>-0.15838619401899451</v>
      </c>
      <c r="H93" s="1">
        <f>(Gewinne!$O93-Gewinne!H93)/Gewinne!$O93</f>
        <v>-8.1573313858121582E-2</v>
      </c>
      <c r="I93" s="1">
        <f>(Gewinne!$O93-Gewinne!I93)/Gewinne!$O93</f>
        <v>-9.0144885408147052E-2</v>
      </c>
      <c r="J93" s="1">
        <f>(Gewinne!$O93-Gewinne!J93)/Gewinne!$O93</f>
        <v>-0.19645374048611791</v>
      </c>
      <c r="K93" s="1">
        <f>(Gewinne!$O93-Gewinne!K93)/Gewinne!$O93</f>
        <v>0.12507908124911976</v>
      </c>
      <c r="L93" s="1">
        <f>(Gewinne!$O93-Gewinne!L93)/Gewinne!$O93</f>
        <v>-0.15838619401899451</v>
      </c>
      <c r="M93" s="1">
        <f>(Gewinne!$O93-Gewinne!M93)/Gewinne!$O93</f>
        <v>-0.19645374048611791</v>
      </c>
      <c r="N93" s="1">
        <f>(Gewinne!$O93-Gewinne!N93)/Gewinne!$O93</f>
        <v>-0.14750975217124498</v>
      </c>
      <c r="O93" s="1"/>
    </row>
    <row r="94" spans="2:15" x14ac:dyDescent="0.25">
      <c r="B94" t="s">
        <v>104</v>
      </c>
      <c r="C94" s="1">
        <f>(Gewinne!$O94-Gewinne!C94)/Gewinne!$O94</f>
        <v>-1.4805590361445712E-2</v>
      </c>
      <c r="D94" s="1">
        <f>(Gewinne!$O94-Gewinne!D94)/Gewinne!$O94</f>
        <v>0.79062438554216863</v>
      </c>
      <c r="E94" s="1">
        <f>(Gewinne!$O94-Gewinne!E94)/Gewinne!$O94</f>
        <v>6.3942369156626475E-2</v>
      </c>
      <c r="F94" s="1">
        <f>(Gewinne!$O94-Gewinne!F94)/Gewinne!$O94</f>
        <v>-0.10950312867469883</v>
      </c>
      <c r="G94" s="1">
        <f>(Gewinne!$O94-Gewinne!G94)/Gewinne!$O94</f>
        <v>-0.23331007999999989</v>
      </c>
      <c r="H94" s="1">
        <f>(Gewinne!$O94-Gewinne!H94)/Gewinne!$O94</f>
        <v>-0.17547875469879509</v>
      </c>
      <c r="I94" s="1">
        <f>(Gewinne!$O94-Gewinne!I94)/Gewinne!$O94</f>
        <v>-0.20575171855421684</v>
      </c>
      <c r="J94" s="1">
        <f>(Gewinne!$O94-Gewinne!J94)/Gewinne!$O94</f>
        <v>-0.23912744867469882</v>
      </c>
      <c r="K94" s="1">
        <f>(Gewinne!$O94-Gewinne!K94)/Gewinne!$O94</f>
        <v>-3.8554216867469878E-3</v>
      </c>
      <c r="L94" s="1">
        <f>(Gewinne!$O94-Gewinne!L94)/Gewinne!$O94</f>
        <v>-0.23331007999999989</v>
      </c>
      <c r="M94" s="1">
        <f>(Gewinne!$O94-Gewinne!M94)/Gewinne!$O94</f>
        <v>-0.22135883566265052</v>
      </c>
      <c r="N94" s="1">
        <f>(Gewinne!$O94-Gewinne!N94)/Gewinne!$O94</f>
        <v>-0.22756118361445787</v>
      </c>
      <c r="O94" s="1"/>
    </row>
    <row r="95" spans="2:15" x14ac:dyDescent="0.25">
      <c r="B95" t="s">
        <v>105</v>
      </c>
      <c r="C95" s="1" t="e">
        <f>(Gewinne!$O95-Gewinne!C95)/Gewinne!$O95</f>
        <v>#DIV/0!</v>
      </c>
      <c r="D95" s="1" t="e">
        <f>(Gewinne!$O95-Gewinne!D95)/Gewinne!$O95</f>
        <v>#DIV/0!</v>
      </c>
      <c r="E95" s="1" t="e">
        <f>(Gewinne!$O95-Gewinne!E95)/Gewinne!$O95</f>
        <v>#DIV/0!</v>
      </c>
      <c r="F95" s="1" t="e">
        <f>(Gewinne!$O95-Gewinne!F95)/Gewinne!$O95</f>
        <v>#DIV/0!</v>
      </c>
      <c r="G95" s="1" t="e">
        <f>(Gewinne!$O95-Gewinne!G95)/Gewinne!$O95</f>
        <v>#DIV/0!</v>
      </c>
      <c r="H95" s="1" t="e">
        <f>(Gewinne!$O95-Gewinne!H95)/Gewinne!$O95</f>
        <v>#DIV/0!</v>
      </c>
      <c r="I95" s="1" t="e">
        <f>(Gewinne!$O95-Gewinne!I95)/Gewinne!$O95</f>
        <v>#DIV/0!</v>
      </c>
      <c r="J95" s="1" t="e">
        <f>(Gewinne!$O95-Gewinne!J95)/Gewinne!$O95</f>
        <v>#DIV/0!</v>
      </c>
      <c r="K95" s="1" t="e">
        <f>(Gewinne!$O95-Gewinne!K95)/Gewinne!$O95</f>
        <v>#DIV/0!</v>
      </c>
      <c r="L95" s="1" t="e">
        <f>(Gewinne!$O95-Gewinne!L95)/Gewinne!$O95</f>
        <v>#DIV/0!</v>
      </c>
      <c r="M95" s="1" t="e">
        <f>(Gewinne!$O95-Gewinne!M95)/Gewinne!$O95</f>
        <v>#DIV/0!</v>
      </c>
      <c r="N95" s="1" t="e">
        <f>(Gewinne!$O95-Gewinne!N95)/Gewinne!$O95</f>
        <v>#DIV/0!</v>
      </c>
      <c r="O95" s="1"/>
    </row>
    <row r="96" spans="2:15" x14ac:dyDescent="0.25">
      <c r="B96" t="s">
        <v>106</v>
      </c>
      <c r="C96" s="1">
        <f>(Gewinne!$O96-Gewinne!C96)/Gewinne!$O96</f>
        <v>-2.3688664707642331</v>
      </c>
      <c r="D96" s="1">
        <f>(Gewinne!$O96-Gewinne!D96)/Gewinne!$O96</f>
        <v>0.32487306788803161</v>
      </c>
      <c r="E96" s="1">
        <f>(Gewinne!$O96-Gewinne!E96)/Gewinne!$O96</f>
        <v>-2.1370561394693799</v>
      </c>
      <c r="F96" s="1">
        <f>(Gewinne!$O96-Gewinne!F96)/Gewinne!$O96</f>
        <v>-0.2791878713700453</v>
      </c>
      <c r="G96" s="1">
        <f>(Gewinne!$O96-Gewinne!G96)/Gewinne!$O96</f>
        <v>-2.368866428463047</v>
      </c>
      <c r="H96" s="1">
        <f>(Gewinne!$O96-Gewinne!H96)/Gewinne!$O96</f>
        <v>-2.2216585119144887</v>
      </c>
      <c r="I96" s="1">
        <f>(Gewinne!$O96-Gewinne!I96)/Gewinne!$O96</f>
        <v>-2.2842640560179381</v>
      </c>
      <c r="J96" s="1">
        <f>(Gewinne!$O96-Gewinne!J96)/Gewinne!$O96</f>
        <v>-2.2842640560179381</v>
      </c>
      <c r="K96" s="1">
        <f>(Gewinne!$O96-Gewinne!K96)/Gewinne!$O96</f>
        <v>0</v>
      </c>
      <c r="L96" s="1">
        <f>(Gewinne!$O96-Gewinne!L96)/Gewinne!$O96</f>
        <v>-2.368866428463047</v>
      </c>
      <c r="M96" s="1">
        <f>(Gewinne!$O96-Gewinne!M96)/Gewinne!$O96</f>
        <v>-2.368866428463047</v>
      </c>
      <c r="N96" s="1">
        <f>(Gewinne!$O96-Gewinne!N96)/Gewinne!$O96</f>
        <v>-2.368866428463047</v>
      </c>
      <c r="O96" s="1"/>
    </row>
    <row r="97" spans="2:15" x14ac:dyDescent="0.25">
      <c r="B97" t="s">
        <v>107</v>
      </c>
      <c r="C97" s="1">
        <f>(Gewinne!$O97-Gewinne!C97)/Gewinne!$O97</f>
        <v>-0.51515914340451341</v>
      </c>
      <c r="D97" s="1">
        <f>(Gewinne!$O97-Gewinne!D97)/Gewinne!$O97</f>
        <v>0.79904612603891156</v>
      </c>
      <c r="E97" s="1">
        <f>(Gewinne!$O97-Gewinne!E97)/Gewinne!$O97</f>
        <v>-0.51515807151193072</v>
      </c>
      <c r="F97" s="1">
        <f>(Gewinne!$O97-Gewinne!F97)/Gewinne!$O97</f>
        <v>-0.44824595660192768</v>
      </c>
      <c r="G97" s="1">
        <f>(Gewinne!$O97-Gewinne!G97)/Gewinne!$O97</f>
        <v>-0.51515807151193072</v>
      </c>
      <c r="H97" s="1">
        <f>(Gewinne!$O97-Gewinne!H97)/Gewinne!$O97</f>
        <v>-0.45019488468823204</v>
      </c>
      <c r="I97" s="1">
        <f>(Gewinne!$O97-Gewinne!I97)/Gewinne!$O97</f>
        <v>-0.51515807151193072</v>
      </c>
      <c r="J97" s="1">
        <f>(Gewinne!$O97-Gewinne!J97)/Gewinne!$O97</f>
        <v>-0.51515807151193072</v>
      </c>
      <c r="K97" s="1">
        <f>(Gewinne!$O97-Gewinne!K97)/Gewinne!$O97</f>
        <v>0</v>
      </c>
      <c r="L97" s="1">
        <f>(Gewinne!$O97-Gewinne!L97)/Gewinne!$O97</f>
        <v>-0.51515807151193072</v>
      </c>
      <c r="M97" s="1">
        <f>(Gewinne!$O97-Gewinne!M97)/Gewinne!$O97</f>
        <v>-0.51515807151193072</v>
      </c>
      <c r="N97" s="1">
        <f>(Gewinne!$O97-Gewinne!N97)/Gewinne!$O97</f>
        <v>-0.51515807151193072</v>
      </c>
      <c r="O97" s="1"/>
    </row>
    <row r="98" spans="2:15" x14ac:dyDescent="0.25">
      <c r="B98" t="s">
        <v>108</v>
      </c>
      <c r="C98" s="1" t="e">
        <f>(Gewinne!$O98-Gewinne!C98)/Gewinne!$O98</f>
        <v>#DIV/0!</v>
      </c>
      <c r="D98" s="1" t="e">
        <f>(Gewinne!$O98-Gewinne!D98)/Gewinne!$O98</f>
        <v>#DIV/0!</v>
      </c>
      <c r="E98" s="1" t="e">
        <f>(Gewinne!$O98-Gewinne!E98)/Gewinne!$O98</f>
        <v>#DIV/0!</v>
      </c>
      <c r="F98" s="1" t="e">
        <f>(Gewinne!$O98-Gewinne!F98)/Gewinne!$O98</f>
        <v>#DIV/0!</v>
      </c>
      <c r="G98" s="1" t="e">
        <f>(Gewinne!$O98-Gewinne!G98)/Gewinne!$O98</f>
        <v>#DIV/0!</v>
      </c>
      <c r="H98" s="1" t="e">
        <f>(Gewinne!$O98-Gewinne!H98)/Gewinne!$O98</f>
        <v>#DIV/0!</v>
      </c>
      <c r="I98" s="1" t="e">
        <f>(Gewinne!$O98-Gewinne!I98)/Gewinne!$O98</f>
        <v>#DIV/0!</v>
      </c>
      <c r="J98" s="1" t="e">
        <f>(Gewinne!$O98-Gewinne!J98)/Gewinne!$O98</f>
        <v>#DIV/0!</v>
      </c>
      <c r="K98" s="1" t="e">
        <f>(Gewinne!$O98-Gewinne!K98)/Gewinne!$O98</f>
        <v>#DIV/0!</v>
      </c>
      <c r="L98" s="1" t="e">
        <f>(Gewinne!$O98-Gewinne!L98)/Gewinne!$O98</f>
        <v>#DIV/0!</v>
      </c>
      <c r="M98" s="1" t="e">
        <f>(Gewinne!$O98-Gewinne!M98)/Gewinne!$O98</f>
        <v>#DIV/0!</v>
      </c>
      <c r="N98" s="1" t="e">
        <f>(Gewinne!$O98-Gewinne!N98)/Gewinne!$O98</f>
        <v>#DIV/0!</v>
      </c>
      <c r="O98" s="1"/>
    </row>
    <row r="99" spans="2:15" x14ac:dyDescent="0.25">
      <c r="B99" t="s">
        <v>109</v>
      </c>
      <c r="C99" s="1">
        <f>(Gewinne!$O99-Gewinne!C99)/Gewinne!$O99</f>
        <v>-0.76473758591536334</v>
      </c>
      <c r="D99" s="1">
        <f>(Gewinne!$O99-Gewinne!D99)/Gewinne!$O99</f>
        <v>5.113590470371572E-2</v>
      </c>
      <c r="E99" s="1">
        <f>(Gewinne!$O99-Gewinne!E99)/Gewinne!$O99</f>
        <v>-0.46215767407757086</v>
      </c>
      <c r="F99" s="1">
        <f>(Gewinne!$O99-Gewinne!F99)/Gewinne!$O99</f>
        <v>-0.76429787121512915</v>
      </c>
      <c r="G99" s="1">
        <f>(Gewinne!$O99-Gewinne!G99)/Gewinne!$O99</f>
        <v>-0.76429787121512915</v>
      </c>
      <c r="H99" s="1">
        <f>(Gewinne!$O99-Gewinne!H99)/Gewinne!$O99</f>
        <v>-0.71081252433847197</v>
      </c>
      <c r="I99" s="1">
        <f>(Gewinne!$O99-Gewinne!I99)/Gewinne!$O99</f>
        <v>-0.76473629102880425</v>
      </c>
      <c r="J99" s="1">
        <f>(Gewinne!$O99-Gewinne!J99)/Gewinne!$O99</f>
        <v>-0.74991024278000729</v>
      </c>
      <c r="K99" s="1">
        <f>(Gewinne!$O99-Gewinne!K99)/Gewinne!$O99</f>
        <v>0</v>
      </c>
      <c r="L99" s="1">
        <f>(Gewinne!$O99-Gewinne!L99)/Gewinne!$O99</f>
        <v>-0.76429787121512915</v>
      </c>
      <c r="M99" s="1">
        <f>(Gewinne!$O99-Gewinne!M99)/Gewinne!$O99</f>
        <v>-0.76473629102880425</v>
      </c>
      <c r="N99" s="1">
        <f>(Gewinne!$O99-Gewinne!N99)/Gewinne!$O99</f>
        <v>-0.76473629102880425</v>
      </c>
      <c r="O99" s="1"/>
    </row>
    <row r="100" spans="2:15" x14ac:dyDescent="0.25">
      <c r="B100" t="s">
        <v>110</v>
      </c>
      <c r="C100" s="1" t="e">
        <f>(Gewinne!$O100-Gewinne!C100)/Gewinne!$O100</f>
        <v>#DIV/0!</v>
      </c>
      <c r="D100" s="1" t="e">
        <f>(Gewinne!$O100-Gewinne!D100)/Gewinne!$O100</f>
        <v>#DIV/0!</v>
      </c>
      <c r="E100" s="1" t="e">
        <f>(Gewinne!$O100-Gewinne!E100)/Gewinne!$O100</f>
        <v>#DIV/0!</v>
      </c>
      <c r="F100" s="1" t="e">
        <f>(Gewinne!$O100-Gewinne!F100)/Gewinne!$O100</f>
        <v>#DIV/0!</v>
      </c>
      <c r="G100" s="1" t="e">
        <f>(Gewinne!$O100-Gewinne!G100)/Gewinne!$O100</f>
        <v>#DIV/0!</v>
      </c>
      <c r="H100" s="1" t="e">
        <f>(Gewinne!$O100-Gewinne!H100)/Gewinne!$O100</f>
        <v>#DIV/0!</v>
      </c>
      <c r="I100" s="1" t="e">
        <f>(Gewinne!$O100-Gewinne!I100)/Gewinne!$O100</f>
        <v>#DIV/0!</v>
      </c>
      <c r="J100" s="1" t="e">
        <f>(Gewinne!$O100-Gewinne!J100)/Gewinne!$O100</f>
        <v>#DIV/0!</v>
      </c>
      <c r="K100" s="1" t="e">
        <f>(Gewinne!$O100-Gewinne!K100)/Gewinne!$O100</f>
        <v>#DIV/0!</v>
      </c>
      <c r="L100" s="1" t="e">
        <f>(Gewinne!$O100-Gewinne!L100)/Gewinne!$O100</f>
        <v>#DIV/0!</v>
      </c>
      <c r="M100" s="1" t="e">
        <f>(Gewinne!$O100-Gewinne!M100)/Gewinne!$O100</f>
        <v>#DIV/0!</v>
      </c>
      <c r="N100" s="1" t="e">
        <f>(Gewinne!$O100-Gewinne!N100)/Gewinne!$O100</f>
        <v>#DIV/0!</v>
      </c>
      <c r="O100" s="1"/>
    </row>
    <row r="101" spans="2:15" x14ac:dyDescent="0.25">
      <c r="B101" t="s">
        <v>111</v>
      </c>
      <c r="C101" s="1">
        <f>(Gewinne!$O101-Gewinne!C101)/Gewinne!$O101</f>
        <v>-1.7982267739547584</v>
      </c>
      <c r="D101" s="1">
        <f>(Gewinne!$O101-Gewinne!D101)/Gewinne!$O101</f>
        <v>0.26766870838825624</v>
      </c>
      <c r="E101" s="1">
        <f>(Gewinne!$O101-Gewinne!E101)/Gewinne!$O101</f>
        <v>-1.1421132969971832</v>
      </c>
      <c r="F101" s="1">
        <f>(Gewinne!$O101-Gewinne!F101)/Gewinne!$O101</f>
        <v>-1.3216114207636973</v>
      </c>
      <c r="G101" s="1">
        <f>(Gewinne!$O101-Gewinne!G101)/Gewinne!$O101</f>
        <v>-1.7108227471858466</v>
      </c>
      <c r="H101" s="1">
        <f>(Gewinne!$O101-Gewinne!H101)/Gewinne!$O101</f>
        <v>-1.6889722867551293</v>
      </c>
      <c r="I101" s="1">
        <f>(Gewinne!$O101-Gewinne!I101)/Gewinne!$O101</f>
        <v>-1.7744109957110608</v>
      </c>
      <c r="J101" s="1">
        <f>(Gewinne!$O101-Gewinne!J101)/Gewinne!$O101</f>
        <v>-1.7744109957110608</v>
      </c>
      <c r="K101" s="1">
        <f>(Gewinne!$O101-Gewinne!K101)/Gewinne!$O101</f>
        <v>0</v>
      </c>
      <c r="L101" s="1">
        <f>(Gewinne!$O101-Gewinne!L101)/Gewinne!$O101</f>
        <v>-1.7108227471858466</v>
      </c>
      <c r="M101" s="1">
        <f>(Gewinne!$O101-Gewinne!M101)/Gewinne!$O101</f>
        <v>-1.7962614561417778</v>
      </c>
      <c r="N101" s="1">
        <f>(Gewinne!$O101-Gewinne!N101)/Gewinne!$O101</f>
        <v>-1.7763741284779981</v>
      </c>
      <c r="O101" s="1"/>
    </row>
    <row r="102" spans="2:15" x14ac:dyDescent="0.25">
      <c r="B102" t="s">
        <v>112</v>
      </c>
      <c r="C102" s="1" t="e">
        <f>(Gewinne!$O102-Gewinne!C102)/Gewinne!$O102</f>
        <v>#DIV/0!</v>
      </c>
      <c r="D102" s="1" t="e">
        <f>(Gewinne!$O102-Gewinne!D102)/Gewinne!$O102</f>
        <v>#DIV/0!</v>
      </c>
      <c r="E102" s="1" t="e">
        <f>(Gewinne!$O102-Gewinne!E102)/Gewinne!$O102</f>
        <v>#DIV/0!</v>
      </c>
      <c r="F102" s="1" t="e">
        <f>(Gewinne!$O102-Gewinne!F102)/Gewinne!$O102</f>
        <v>#DIV/0!</v>
      </c>
      <c r="G102" s="1" t="e">
        <f>(Gewinne!$O102-Gewinne!G102)/Gewinne!$O102</f>
        <v>#DIV/0!</v>
      </c>
      <c r="H102" s="1" t="e">
        <f>(Gewinne!$O102-Gewinne!H102)/Gewinne!$O102</f>
        <v>#DIV/0!</v>
      </c>
      <c r="I102" s="1" t="e">
        <f>(Gewinne!$O102-Gewinne!I102)/Gewinne!$O102</f>
        <v>#DIV/0!</v>
      </c>
      <c r="J102" s="1" t="e">
        <f>(Gewinne!$O102-Gewinne!J102)/Gewinne!$O102</f>
        <v>#DIV/0!</v>
      </c>
      <c r="K102" s="1" t="e">
        <f>(Gewinne!$O102-Gewinne!K102)/Gewinne!$O102</f>
        <v>#DIV/0!</v>
      </c>
      <c r="L102" s="1" t="e">
        <f>(Gewinne!$O102-Gewinne!L102)/Gewinne!$O102</f>
        <v>#DIV/0!</v>
      </c>
      <c r="M102" s="1" t="e">
        <f>(Gewinne!$O102-Gewinne!M102)/Gewinne!$O102</f>
        <v>#DIV/0!</v>
      </c>
      <c r="N102" s="1" t="e">
        <f>(Gewinne!$O102-Gewinne!N102)/Gewinne!$O102</f>
        <v>#DIV/0!</v>
      </c>
      <c r="O102" s="1"/>
    </row>
    <row r="103" spans="2:15" x14ac:dyDescent="0.25">
      <c r="B103" t="s">
        <v>113</v>
      </c>
      <c r="C103" s="1" t="e">
        <f>(Gewinne!$O103-Gewinne!C103)/Gewinne!$O103</f>
        <v>#DIV/0!</v>
      </c>
      <c r="D103" s="1" t="e">
        <f>(Gewinne!$O103-Gewinne!D103)/Gewinne!$O103</f>
        <v>#DIV/0!</v>
      </c>
      <c r="E103" s="1" t="e">
        <f>(Gewinne!$O103-Gewinne!E103)/Gewinne!$O103</f>
        <v>#DIV/0!</v>
      </c>
      <c r="F103" s="1" t="e">
        <f>(Gewinne!$O103-Gewinne!F103)/Gewinne!$O103</f>
        <v>#DIV/0!</v>
      </c>
      <c r="G103" s="1" t="e">
        <f>(Gewinne!$O103-Gewinne!G103)/Gewinne!$O103</f>
        <v>#DIV/0!</v>
      </c>
      <c r="H103" s="1" t="e">
        <f>(Gewinne!$O103-Gewinne!H103)/Gewinne!$O103</f>
        <v>#DIV/0!</v>
      </c>
      <c r="I103" s="1" t="e">
        <f>(Gewinne!$O103-Gewinne!I103)/Gewinne!$O103</f>
        <v>#DIV/0!</v>
      </c>
      <c r="J103" s="1" t="e">
        <f>(Gewinne!$O103-Gewinne!J103)/Gewinne!$O103</f>
        <v>#DIV/0!</v>
      </c>
      <c r="K103" s="1" t="e">
        <f>(Gewinne!$O103-Gewinne!K103)/Gewinne!$O103</f>
        <v>#DIV/0!</v>
      </c>
      <c r="L103" s="1" t="e">
        <f>(Gewinne!$O103-Gewinne!L103)/Gewinne!$O103</f>
        <v>#DIV/0!</v>
      </c>
      <c r="M103" s="1" t="e">
        <f>(Gewinne!$O103-Gewinne!M103)/Gewinne!$O103</f>
        <v>#DIV/0!</v>
      </c>
      <c r="N103" s="1" t="e">
        <f>(Gewinne!$O103-Gewinne!N103)/Gewinne!$O103</f>
        <v>#DIV/0!</v>
      </c>
      <c r="O103" s="1"/>
    </row>
    <row r="104" spans="2:15" x14ac:dyDescent="0.25">
      <c r="B104" t="s">
        <v>114</v>
      </c>
      <c r="C104" s="1" t="e">
        <f>(Gewinne!$O104-Gewinne!C104)/Gewinne!$O104</f>
        <v>#DIV/0!</v>
      </c>
      <c r="D104" s="1" t="e">
        <f>(Gewinne!$O104-Gewinne!D104)/Gewinne!$O104</f>
        <v>#DIV/0!</v>
      </c>
      <c r="E104" s="1" t="e">
        <f>(Gewinne!$O104-Gewinne!E104)/Gewinne!$O104</f>
        <v>#DIV/0!</v>
      </c>
      <c r="F104" s="1" t="e">
        <f>(Gewinne!$O104-Gewinne!F104)/Gewinne!$O104</f>
        <v>#DIV/0!</v>
      </c>
      <c r="G104" s="1" t="e">
        <f>(Gewinne!$O104-Gewinne!G104)/Gewinne!$O104</f>
        <v>#DIV/0!</v>
      </c>
      <c r="H104" s="1" t="e">
        <f>(Gewinne!$O104-Gewinne!H104)/Gewinne!$O104</f>
        <v>#DIV/0!</v>
      </c>
      <c r="I104" s="1" t="e">
        <f>(Gewinne!$O104-Gewinne!I104)/Gewinne!$O104</f>
        <v>#DIV/0!</v>
      </c>
      <c r="J104" s="1" t="e">
        <f>(Gewinne!$O104-Gewinne!J104)/Gewinne!$O104</f>
        <v>#DIV/0!</v>
      </c>
      <c r="K104" s="1" t="e">
        <f>(Gewinne!$O104-Gewinne!K104)/Gewinne!$O104</f>
        <v>#DIV/0!</v>
      </c>
      <c r="L104" s="1" t="e">
        <f>(Gewinne!$O104-Gewinne!L104)/Gewinne!$O104</f>
        <v>#DIV/0!</v>
      </c>
      <c r="M104" s="1" t="e">
        <f>(Gewinne!$O104-Gewinne!M104)/Gewinne!$O104</f>
        <v>#DIV/0!</v>
      </c>
      <c r="N104" s="1" t="e">
        <f>(Gewinne!$O104-Gewinne!N104)/Gewinne!$O104</f>
        <v>#DIV/0!</v>
      </c>
      <c r="O104" s="1"/>
    </row>
    <row r="105" spans="2:15" x14ac:dyDescent="0.25">
      <c r="B105" t="s">
        <v>115</v>
      </c>
      <c r="C105" s="1" t="e">
        <f>(Gewinne!$O105-Gewinne!C105)/Gewinne!$O105</f>
        <v>#DIV/0!</v>
      </c>
      <c r="D105" s="1" t="e">
        <f>(Gewinne!$O105-Gewinne!D105)/Gewinne!$O105</f>
        <v>#DIV/0!</v>
      </c>
      <c r="E105" s="1" t="e">
        <f>(Gewinne!$O105-Gewinne!E105)/Gewinne!$O105</f>
        <v>#DIV/0!</v>
      </c>
      <c r="F105" s="1" t="e">
        <f>(Gewinne!$O105-Gewinne!F105)/Gewinne!$O105</f>
        <v>#DIV/0!</v>
      </c>
      <c r="G105" s="1" t="e">
        <f>(Gewinne!$O105-Gewinne!G105)/Gewinne!$O105</f>
        <v>#DIV/0!</v>
      </c>
      <c r="H105" s="1" t="e">
        <f>(Gewinne!$O105-Gewinne!H105)/Gewinne!$O105</f>
        <v>#DIV/0!</v>
      </c>
      <c r="I105" s="1" t="e">
        <f>(Gewinne!$O105-Gewinne!I105)/Gewinne!$O105</f>
        <v>#DIV/0!</v>
      </c>
      <c r="J105" s="1" t="e">
        <f>(Gewinne!$O105-Gewinne!J105)/Gewinne!$O105</f>
        <v>#DIV/0!</v>
      </c>
      <c r="K105" s="1" t="e">
        <f>(Gewinne!$O105-Gewinne!K105)/Gewinne!$O105</f>
        <v>#DIV/0!</v>
      </c>
      <c r="L105" s="1" t="e">
        <f>(Gewinne!$O105-Gewinne!L105)/Gewinne!$O105</f>
        <v>#DIV/0!</v>
      </c>
      <c r="M105" s="1" t="e">
        <f>(Gewinne!$O105-Gewinne!M105)/Gewinne!$O105</f>
        <v>#DIV/0!</v>
      </c>
      <c r="N105" s="1" t="e">
        <f>(Gewinne!$O105-Gewinne!N105)/Gewinne!$O105</f>
        <v>#DIV/0!</v>
      </c>
      <c r="O105" s="1"/>
    </row>
    <row r="106" spans="2:15" x14ac:dyDescent="0.25">
      <c r="B106" t="s">
        <v>116</v>
      </c>
      <c r="C106" s="1" t="e">
        <f>(Gewinne!$O106-Gewinne!C106)/Gewinne!$O106</f>
        <v>#DIV/0!</v>
      </c>
      <c r="D106" s="1" t="e">
        <f>(Gewinne!$O106-Gewinne!D106)/Gewinne!$O106</f>
        <v>#DIV/0!</v>
      </c>
      <c r="E106" s="1" t="e">
        <f>(Gewinne!$O106-Gewinne!E106)/Gewinne!$O106</f>
        <v>#DIV/0!</v>
      </c>
      <c r="F106" s="1" t="e">
        <f>(Gewinne!$O106-Gewinne!F106)/Gewinne!$O106</f>
        <v>#DIV/0!</v>
      </c>
      <c r="G106" s="1" t="e">
        <f>(Gewinne!$O106-Gewinne!G106)/Gewinne!$O106</f>
        <v>#DIV/0!</v>
      </c>
      <c r="H106" s="1" t="e">
        <f>(Gewinne!$O106-Gewinne!H106)/Gewinne!$O106</f>
        <v>#DIV/0!</v>
      </c>
      <c r="I106" s="1" t="e">
        <f>(Gewinne!$O106-Gewinne!I106)/Gewinne!$O106</f>
        <v>#DIV/0!</v>
      </c>
      <c r="J106" s="1" t="e">
        <f>(Gewinne!$O106-Gewinne!J106)/Gewinne!$O106</f>
        <v>#DIV/0!</v>
      </c>
      <c r="K106" s="1" t="e">
        <f>(Gewinne!$O106-Gewinne!K106)/Gewinne!$O106</f>
        <v>#DIV/0!</v>
      </c>
      <c r="L106" s="1" t="e">
        <f>(Gewinne!$O106-Gewinne!L106)/Gewinne!$O106</f>
        <v>#DIV/0!</v>
      </c>
      <c r="M106" s="1" t="e">
        <f>(Gewinne!$O106-Gewinne!M106)/Gewinne!$O106</f>
        <v>#DIV/0!</v>
      </c>
      <c r="N106" s="1" t="e">
        <f>(Gewinne!$O106-Gewinne!N106)/Gewinne!$O106</f>
        <v>#DIV/0!</v>
      </c>
      <c r="O106" s="1"/>
    </row>
    <row r="107" spans="2:15" x14ac:dyDescent="0.25">
      <c r="B107" t="s">
        <v>117</v>
      </c>
      <c r="C107" s="1" t="e">
        <f>(Gewinne!$O107-Gewinne!C107)/Gewinne!$O107</f>
        <v>#DIV/0!</v>
      </c>
      <c r="D107" s="1" t="e">
        <f>(Gewinne!$O107-Gewinne!D107)/Gewinne!$O107</f>
        <v>#DIV/0!</v>
      </c>
      <c r="E107" s="1" t="e">
        <f>(Gewinne!$O107-Gewinne!E107)/Gewinne!$O107</f>
        <v>#DIV/0!</v>
      </c>
      <c r="F107" s="1" t="e">
        <f>(Gewinne!$O107-Gewinne!F107)/Gewinne!$O107</f>
        <v>#DIV/0!</v>
      </c>
      <c r="G107" s="1" t="e">
        <f>(Gewinne!$O107-Gewinne!G107)/Gewinne!$O107</f>
        <v>#DIV/0!</v>
      </c>
      <c r="H107" s="1" t="e">
        <f>(Gewinne!$O107-Gewinne!H107)/Gewinne!$O107</f>
        <v>#DIV/0!</v>
      </c>
      <c r="I107" s="1" t="e">
        <f>(Gewinne!$O107-Gewinne!I107)/Gewinne!$O107</f>
        <v>#DIV/0!</v>
      </c>
      <c r="J107" s="1" t="e">
        <f>(Gewinne!$O107-Gewinne!J107)/Gewinne!$O107</f>
        <v>#DIV/0!</v>
      </c>
      <c r="K107" s="1" t="e">
        <f>(Gewinne!$O107-Gewinne!K107)/Gewinne!$O107</f>
        <v>#DIV/0!</v>
      </c>
      <c r="L107" s="1" t="e">
        <f>(Gewinne!$O107-Gewinne!L107)/Gewinne!$O107</f>
        <v>#DIV/0!</v>
      </c>
      <c r="M107" s="1" t="e">
        <f>(Gewinne!$O107-Gewinne!M107)/Gewinne!$O107</f>
        <v>#DIV/0!</v>
      </c>
      <c r="N107" s="1" t="e">
        <f>(Gewinne!$O107-Gewinne!N107)/Gewinne!$O107</f>
        <v>#DIV/0!</v>
      </c>
      <c r="O107" s="1"/>
    </row>
    <row r="108" spans="2:15" x14ac:dyDescent="0.25">
      <c r="B108" t="s">
        <v>118</v>
      </c>
      <c r="C108" s="1" t="e">
        <f>(Gewinne!$O108-Gewinne!C108)/Gewinne!$O108</f>
        <v>#DIV/0!</v>
      </c>
      <c r="D108" s="1" t="e">
        <f>(Gewinne!$O108-Gewinne!D108)/Gewinne!$O108</f>
        <v>#DIV/0!</v>
      </c>
      <c r="E108" s="1" t="e">
        <f>(Gewinne!$O108-Gewinne!E108)/Gewinne!$O108</f>
        <v>#DIV/0!</v>
      </c>
      <c r="F108" s="1" t="e">
        <f>(Gewinne!$O108-Gewinne!F108)/Gewinne!$O108</f>
        <v>#DIV/0!</v>
      </c>
      <c r="G108" s="1" t="e">
        <f>(Gewinne!$O108-Gewinne!G108)/Gewinne!$O108</f>
        <v>#DIV/0!</v>
      </c>
      <c r="H108" s="1" t="e">
        <f>(Gewinne!$O108-Gewinne!H108)/Gewinne!$O108</f>
        <v>#DIV/0!</v>
      </c>
      <c r="I108" s="1" t="e">
        <f>(Gewinne!$O108-Gewinne!I108)/Gewinne!$O108</f>
        <v>#DIV/0!</v>
      </c>
      <c r="J108" s="1" t="e">
        <f>(Gewinne!$O108-Gewinne!J108)/Gewinne!$O108</f>
        <v>#DIV/0!</v>
      </c>
      <c r="K108" s="1" t="e">
        <f>(Gewinne!$O108-Gewinne!K108)/Gewinne!$O108</f>
        <v>#DIV/0!</v>
      </c>
      <c r="L108" s="1" t="e">
        <f>(Gewinne!$O108-Gewinne!L108)/Gewinne!$O108</f>
        <v>#DIV/0!</v>
      </c>
      <c r="M108" s="1" t="e">
        <f>(Gewinne!$O108-Gewinne!M108)/Gewinne!$O108</f>
        <v>#DIV/0!</v>
      </c>
      <c r="N108" s="1" t="e">
        <f>(Gewinne!$O108-Gewinne!N108)/Gewinne!$O108</f>
        <v>#DIV/0!</v>
      </c>
      <c r="O108" s="1"/>
    </row>
    <row r="109" spans="2:15" x14ac:dyDescent="0.25">
      <c r="B109" t="s">
        <v>119</v>
      </c>
      <c r="C109" s="1" t="e">
        <f>(Gewinne!$O109-Gewinne!C109)/Gewinne!$O109</f>
        <v>#DIV/0!</v>
      </c>
      <c r="D109" s="1" t="e">
        <f>(Gewinne!$O109-Gewinne!D109)/Gewinne!$O109</f>
        <v>#DIV/0!</v>
      </c>
      <c r="E109" s="1" t="e">
        <f>(Gewinne!$O109-Gewinne!E109)/Gewinne!$O109</f>
        <v>#DIV/0!</v>
      </c>
      <c r="F109" s="1" t="e">
        <f>(Gewinne!$O109-Gewinne!F109)/Gewinne!$O109</f>
        <v>#DIV/0!</v>
      </c>
      <c r="G109" s="1" t="e">
        <f>(Gewinne!$O109-Gewinne!G109)/Gewinne!$O109</f>
        <v>#DIV/0!</v>
      </c>
      <c r="H109" s="1" t="e">
        <f>(Gewinne!$O109-Gewinne!H109)/Gewinne!$O109</f>
        <v>#DIV/0!</v>
      </c>
      <c r="I109" s="1" t="e">
        <f>(Gewinne!$O109-Gewinne!I109)/Gewinne!$O109</f>
        <v>#DIV/0!</v>
      </c>
      <c r="J109" s="1" t="e">
        <f>(Gewinne!$O109-Gewinne!J109)/Gewinne!$O109</f>
        <v>#DIV/0!</v>
      </c>
      <c r="K109" s="1" t="e">
        <f>(Gewinne!$O109-Gewinne!K109)/Gewinne!$O109</f>
        <v>#DIV/0!</v>
      </c>
      <c r="L109" s="1" t="e">
        <f>(Gewinne!$O109-Gewinne!L109)/Gewinne!$O109</f>
        <v>#DIV/0!</v>
      </c>
      <c r="M109" s="1" t="e">
        <f>(Gewinne!$O109-Gewinne!M109)/Gewinne!$O109</f>
        <v>#DIV/0!</v>
      </c>
      <c r="N109" s="1" t="e">
        <f>(Gewinne!$O109-Gewinne!N109)/Gewinne!$O109</f>
        <v>#DIV/0!</v>
      </c>
      <c r="O109" s="1"/>
    </row>
    <row r="110" spans="2:15" x14ac:dyDescent="0.25">
      <c r="B110" t="s">
        <v>120</v>
      </c>
      <c r="C110" s="1" t="e">
        <f>(Gewinne!$O110-Gewinne!C110)/Gewinne!$O110</f>
        <v>#DIV/0!</v>
      </c>
      <c r="D110" s="1" t="e">
        <f>(Gewinne!$O110-Gewinne!D110)/Gewinne!$O110</f>
        <v>#DIV/0!</v>
      </c>
      <c r="E110" s="1" t="e">
        <f>(Gewinne!$O110-Gewinne!E110)/Gewinne!$O110</f>
        <v>#DIV/0!</v>
      </c>
      <c r="F110" s="1" t="e">
        <f>(Gewinne!$O110-Gewinne!F110)/Gewinne!$O110</f>
        <v>#DIV/0!</v>
      </c>
      <c r="G110" s="1" t="e">
        <f>(Gewinne!$O110-Gewinne!G110)/Gewinne!$O110</f>
        <v>#DIV/0!</v>
      </c>
      <c r="H110" s="1" t="e">
        <f>(Gewinne!$O110-Gewinne!H110)/Gewinne!$O110</f>
        <v>#DIV/0!</v>
      </c>
      <c r="I110" s="1" t="e">
        <f>(Gewinne!$O110-Gewinne!I110)/Gewinne!$O110</f>
        <v>#DIV/0!</v>
      </c>
      <c r="J110" s="1" t="e">
        <f>(Gewinne!$O110-Gewinne!J110)/Gewinne!$O110</f>
        <v>#DIV/0!</v>
      </c>
      <c r="K110" s="1" t="e">
        <f>(Gewinne!$O110-Gewinne!K110)/Gewinne!$O110</f>
        <v>#DIV/0!</v>
      </c>
      <c r="L110" s="1" t="e">
        <f>(Gewinne!$O110-Gewinne!L110)/Gewinne!$O110</f>
        <v>#DIV/0!</v>
      </c>
      <c r="M110" s="1" t="e">
        <f>(Gewinne!$O110-Gewinne!M110)/Gewinne!$O110</f>
        <v>#DIV/0!</v>
      </c>
      <c r="N110" s="1" t="e">
        <f>(Gewinne!$O110-Gewinne!N110)/Gewinne!$O110</f>
        <v>#DIV/0!</v>
      </c>
      <c r="O110" s="1"/>
    </row>
    <row r="111" spans="2:15" x14ac:dyDescent="0.25">
      <c r="B111" t="s">
        <v>121</v>
      </c>
      <c r="C111" s="1" t="e">
        <f>(Gewinne!$O111-Gewinne!C111)/Gewinne!$O111</f>
        <v>#DIV/0!</v>
      </c>
      <c r="D111" s="1" t="e">
        <f>(Gewinne!$O111-Gewinne!D111)/Gewinne!$O111</f>
        <v>#DIV/0!</v>
      </c>
      <c r="E111" s="1" t="e">
        <f>(Gewinne!$O111-Gewinne!E111)/Gewinne!$O111</f>
        <v>#DIV/0!</v>
      </c>
      <c r="F111" s="1" t="e">
        <f>(Gewinne!$O111-Gewinne!F111)/Gewinne!$O111</f>
        <v>#DIV/0!</v>
      </c>
      <c r="G111" s="1" t="e">
        <f>(Gewinne!$O111-Gewinne!G111)/Gewinne!$O111</f>
        <v>#DIV/0!</v>
      </c>
      <c r="H111" s="1" t="e">
        <f>(Gewinne!$O111-Gewinne!H111)/Gewinne!$O111</f>
        <v>#DIV/0!</v>
      </c>
      <c r="I111" s="1" t="e">
        <f>(Gewinne!$O111-Gewinne!I111)/Gewinne!$O111</f>
        <v>#DIV/0!</v>
      </c>
      <c r="J111" s="1" t="e">
        <f>(Gewinne!$O111-Gewinne!J111)/Gewinne!$O111</f>
        <v>#DIV/0!</v>
      </c>
      <c r="K111" s="1" t="e">
        <f>(Gewinne!$O111-Gewinne!K111)/Gewinne!$O111</f>
        <v>#DIV/0!</v>
      </c>
      <c r="L111" s="1" t="e">
        <f>(Gewinne!$O111-Gewinne!L111)/Gewinne!$O111</f>
        <v>#DIV/0!</v>
      </c>
      <c r="M111" s="1" t="e">
        <f>(Gewinne!$O111-Gewinne!M111)/Gewinne!$O111</f>
        <v>#DIV/0!</v>
      </c>
      <c r="N111" s="1" t="e">
        <f>(Gewinne!$O111-Gewinne!N111)/Gewinne!$O111</f>
        <v>#DIV/0!</v>
      </c>
      <c r="O111" s="1"/>
    </row>
    <row r="112" spans="2:15" x14ac:dyDescent="0.25">
      <c r="B112" t="s">
        <v>122</v>
      </c>
      <c r="C112" s="1">
        <f>(Gewinne!$O112-Gewinne!C112)/Gewinne!$O112</f>
        <v>1</v>
      </c>
      <c r="D112" s="1">
        <f>(Gewinne!$O112-Gewinne!D112)/Gewinne!$O112</f>
        <v>0.95232147605604112</v>
      </c>
      <c r="E112" s="1">
        <f>(Gewinne!$O112-Gewinne!E112)/Gewinne!$O112</f>
        <v>9.331479820859595E-2</v>
      </c>
      <c r="F112" s="1">
        <f>(Gewinne!$O112-Gewinne!F112)/Gewinne!$O112</f>
        <v>0.37623714681932396</v>
      </c>
      <c r="G112" s="1">
        <f>(Gewinne!$O112-Gewinne!G112)/Gewinne!$O112</f>
        <v>-0.13643693670638435</v>
      </c>
      <c r="H112" s="1">
        <f>(Gewinne!$O112-Gewinne!H112)/Gewinne!$O112</f>
        <v>-6.243330313126038E-2</v>
      </c>
      <c r="I112" s="1">
        <f>(Gewinne!$O112-Gewinne!I112)/Gewinne!$O112</f>
        <v>-0.12704367813043871</v>
      </c>
      <c r="J112" s="1">
        <f>(Gewinne!$O112-Gewinne!J112)/Gewinne!$O112</f>
        <v>-0.13924608344547906</v>
      </c>
      <c r="K112" s="1">
        <f>(Gewinne!$O112-Gewinne!K112)/Gewinne!$O112</f>
        <v>0</v>
      </c>
      <c r="L112" s="1">
        <f>(Gewinne!$O112-Gewinne!L112)/Gewinne!$O112</f>
        <v>-0.11677290953272138</v>
      </c>
      <c r="M112" s="1">
        <f>(Gewinne!$O112-Gewinne!M112)/Gewinne!$O112</f>
        <v>-9.9317927935160796E-2</v>
      </c>
      <c r="N112" s="1">
        <f>(Gewinne!$O112-Gewinne!N112)/Gewinne!$O112</f>
        <v>-9.7142575265047146E-2</v>
      </c>
      <c r="O112" s="1"/>
    </row>
    <row r="113" spans="2:15" x14ac:dyDescent="0.25">
      <c r="B113" t="s">
        <v>123</v>
      </c>
      <c r="C113" s="1">
        <f>(Gewinne!$O113-Gewinne!C113)/Gewinne!$O113</f>
        <v>-0.14090992998995394</v>
      </c>
      <c r="D113" s="1">
        <f>(Gewinne!$O113-Gewinne!D113)/Gewinne!$O113</f>
        <v>0.91062915638349917</v>
      </c>
      <c r="E113" s="1">
        <f>(Gewinne!$O113-Gewinne!E113)/Gewinne!$O113</f>
        <v>-3.6155457933651408E-2</v>
      </c>
      <c r="F113" s="1">
        <f>(Gewinne!$O113-Gewinne!F113)/Gewinne!$O113</f>
        <v>-3.9951859638687109E-2</v>
      </c>
      <c r="G113" s="1">
        <f>(Gewinne!$O113-Gewinne!G113)/Gewinne!$O113</f>
        <v>-0.17867931301095105</v>
      </c>
      <c r="H113" s="1">
        <f>(Gewinne!$O113-Gewinne!H113)/Gewinne!$O113</f>
        <v>-0.1415408557423487</v>
      </c>
      <c r="I113" s="1">
        <f>(Gewinne!$O113-Gewinne!I113)/Gewinne!$O113</f>
        <v>-0.18443073966383514</v>
      </c>
      <c r="J113" s="1">
        <f>(Gewinne!$O113-Gewinne!J113)/Gewinne!$O113</f>
        <v>-0.17892512898609536</v>
      </c>
      <c r="K113" s="1">
        <f>(Gewinne!$O113-Gewinne!K113)/Gewinne!$O113</f>
        <v>-1.4378566632210254E-2</v>
      </c>
      <c r="L113" s="1">
        <f>(Gewinne!$O113-Gewinne!L113)/Gewinne!$O113</f>
        <v>-0.15217804456831124</v>
      </c>
      <c r="M113" s="1">
        <f>(Gewinne!$O113-Gewinne!M113)/Gewinne!$O113</f>
        <v>-0.15505375789475331</v>
      </c>
      <c r="N113" s="1">
        <f>(Gewinne!$O113-Gewinne!N113)/Gewinne!$O113</f>
        <v>-0.15792947122119536</v>
      </c>
      <c r="O113" s="1"/>
    </row>
    <row r="114" spans="2:15" x14ac:dyDescent="0.25">
      <c r="B114" t="s">
        <v>124</v>
      </c>
      <c r="C114" s="1">
        <f>(Gewinne!$O114-Gewinne!C114)/Gewinne!$O114</f>
        <v>1</v>
      </c>
      <c r="D114" s="1">
        <f>(Gewinne!$O114-Gewinne!D114)/Gewinne!$O114</f>
        <v>1</v>
      </c>
      <c r="E114" s="1">
        <f>(Gewinne!$O114-Gewinne!E114)/Gewinne!$O114</f>
        <v>7.2550958206857821E-2</v>
      </c>
      <c r="F114" s="1">
        <f>(Gewinne!$O114-Gewinne!F114)/Gewinne!$O114</f>
        <v>0.56025345211906097</v>
      </c>
      <c r="G114" s="1">
        <f>(Gewinne!$O114-Gewinne!G114)/Gewinne!$O114</f>
        <v>-9.0211701070313094E-2</v>
      </c>
      <c r="H114" s="1">
        <f>(Gewinne!$O114-Gewinne!H114)/Gewinne!$O114</f>
        <v>-6.6786390143917268E-2</v>
      </c>
      <c r="I114" s="1">
        <f>(Gewinne!$O114-Gewinne!I114)/Gewinne!$O114</f>
        <v>-9.7657595566302546E-2</v>
      </c>
      <c r="J114" s="1">
        <f>(Gewinne!$O114-Gewinne!J114)/Gewinne!$O114</f>
        <v>-0.12868287508128076</v>
      </c>
      <c r="K114" s="1">
        <f>(Gewinne!$O114-Gewinne!K114)/Gewinne!$O114</f>
        <v>-2.1485606170047102E-2</v>
      </c>
      <c r="L114" s="1">
        <f>(Gewinne!$O114-Gewinne!L114)/Gewinne!$O114</f>
        <v>-0.13164219615904751</v>
      </c>
      <c r="M114" s="1">
        <f>(Gewinne!$O114-Gewinne!M114)/Gewinne!$O114</f>
        <v>-6.3565796526836554E-2</v>
      </c>
      <c r="N114" s="1">
        <f>(Gewinne!$O114-Gewinne!N114)/Gewinne!$O114</f>
        <v>-0.10204898538138006</v>
      </c>
      <c r="O114" s="1"/>
    </row>
    <row r="115" spans="2:15" x14ac:dyDescent="0.25">
      <c r="B115" t="s">
        <v>125</v>
      </c>
      <c r="C115" s="1">
        <f>(Gewinne!$O115-Gewinne!C115)/Gewinne!$O115</f>
        <v>0.88849347779190702</v>
      </c>
      <c r="D115" s="1">
        <f>(Gewinne!$O115-Gewinne!D115)/Gewinne!$O115</f>
        <v>0.92946301417334487</v>
      </c>
      <c r="E115" s="1">
        <f>(Gewinne!$O115-Gewinne!E115)/Gewinne!$O115</f>
        <v>5.5857944440697506E-2</v>
      </c>
      <c r="F115" s="1">
        <f>(Gewinne!$O115-Gewinne!F115)/Gewinne!$O115</f>
        <v>0.92946287375931924</v>
      </c>
      <c r="G115" s="1">
        <f>(Gewinne!$O115-Gewinne!G115)/Gewinne!$O115</f>
        <v>-0.19839166030552124</v>
      </c>
      <c r="H115" s="1">
        <f>(Gewinne!$O115-Gewinne!H115)/Gewinne!$O115</f>
        <v>-0.18524412873962917</v>
      </c>
      <c r="I115" s="1">
        <f>(Gewinne!$O115-Gewinne!I115)/Gewinne!$O115</f>
        <v>-0.24521561439537698</v>
      </c>
      <c r="J115" s="1">
        <f>(Gewinne!$O115-Gewinne!J115)/Gewinne!$O115</f>
        <v>-0.2390695052703701</v>
      </c>
      <c r="K115" s="1">
        <f>(Gewinne!$O115-Gewinne!K115)/Gewinne!$O115</f>
        <v>-3.2763272670885857E-2</v>
      </c>
      <c r="L115" s="1">
        <f>(Gewinne!$O115-Gewinne!L115)/Gewinne!$O115</f>
        <v>-0.18931411352389724</v>
      </c>
      <c r="M115" s="1">
        <f>(Gewinne!$O115-Gewinne!M115)/Gewinne!$O115</f>
        <v>-0.17354295992859853</v>
      </c>
      <c r="N115" s="1">
        <f>(Gewinne!$O115-Gewinne!N115)/Gewinne!$O115</f>
        <v>-0.21243306287875804</v>
      </c>
      <c r="O115" s="1"/>
    </row>
    <row r="116" spans="2:15" x14ac:dyDescent="0.25">
      <c r="B116" t="s">
        <v>126</v>
      </c>
      <c r="C116" s="1">
        <f>(Gewinne!$O116-Gewinne!C116)/Gewinne!$O116</f>
        <v>1</v>
      </c>
      <c r="D116" s="1">
        <f>(Gewinne!$O116-Gewinne!D116)/Gewinne!$O116</f>
        <v>1</v>
      </c>
      <c r="E116" s="1">
        <f>(Gewinne!$O116-Gewinne!E116)/Gewinne!$O116</f>
        <v>6.6052894632228742E-2</v>
      </c>
      <c r="F116" s="1">
        <f>(Gewinne!$O116-Gewinne!F116)/Gewinne!$O116</f>
        <v>0.28475551504436575</v>
      </c>
      <c r="G116" s="1">
        <f>(Gewinne!$O116-Gewinne!G116)/Gewinne!$O116</f>
        <v>-0.18261357034314399</v>
      </c>
      <c r="H116" s="1">
        <f>(Gewinne!$O116-Gewinne!H116)/Gewinne!$O116</f>
        <v>-0.14862006802852903</v>
      </c>
      <c r="I116" s="1">
        <f>(Gewinne!$O116-Gewinne!I116)/Gewinne!$O116</f>
        <v>-0.21495920363955573</v>
      </c>
      <c r="J116" s="1">
        <f>(Gewinne!$O116-Gewinne!J116)/Gewinne!$O116</f>
        <v>-0.22811773276121119</v>
      </c>
      <c r="K116" s="1">
        <f>(Gewinne!$O116-Gewinne!K116)/Gewinne!$O116</f>
        <v>-3.8516400554809642E-2</v>
      </c>
      <c r="L116" s="1">
        <f>(Gewinne!$O116-Gewinne!L116)/Gewinne!$O116</f>
        <v>-0.18366469127286855</v>
      </c>
      <c r="M116" s="1">
        <f>(Gewinne!$O116-Gewinne!M116)/Gewinne!$O116</f>
        <v>-0.1830419355402344</v>
      </c>
      <c r="N116" s="1">
        <f>(Gewinne!$O116-Gewinne!N116)/Gewinne!$O116</f>
        <v>-0.19673911524002816</v>
      </c>
      <c r="O116" s="1"/>
    </row>
    <row r="117" spans="2:15" x14ac:dyDescent="0.25">
      <c r="B117" t="s">
        <v>127</v>
      </c>
      <c r="C117" s="1">
        <f>(Gewinne!$O117-Gewinne!C117)/Gewinne!$O117</f>
        <v>1</v>
      </c>
      <c r="D117" s="1">
        <f>(Gewinne!$O117-Gewinne!D117)/Gewinne!$O117</f>
        <v>1</v>
      </c>
      <c r="E117" s="1">
        <f>(Gewinne!$O117-Gewinne!E117)/Gewinne!$O117</f>
        <v>1.5945317024322583E-2</v>
      </c>
      <c r="F117" s="1">
        <f>(Gewinne!$O117-Gewinne!F117)/Gewinne!$O117</f>
        <v>0.47413456774521162</v>
      </c>
      <c r="G117" s="1">
        <f>(Gewinne!$O117-Gewinne!G117)/Gewinne!$O117</f>
        <v>-0.10924637417263382</v>
      </c>
      <c r="H117" s="1">
        <f>(Gewinne!$O117-Gewinne!H117)/Gewinne!$O117</f>
        <v>-8.0596893844149461E-2</v>
      </c>
      <c r="I117" s="1">
        <f>(Gewinne!$O117-Gewinne!I117)/Gewinne!$O117</f>
        <v>-0.16689387151927973</v>
      </c>
      <c r="J117" s="1">
        <f>(Gewinne!$O117-Gewinne!J117)/Gewinne!$O117</f>
        <v>-0.16495510118639795</v>
      </c>
      <c r="K117" s="1">
        <f>(Gewinne!$O117-Gewinne!K117)/Gewinne!$O117</f>
        <v>1.7334318083192669E-2</v>
      </c>
      <c r="L117" s="1">
        <f>(Gewinne!$O117-Gewinne!L117)/Gewinne!$O117</f>
        <v>-0.16234459015029343</v>
      </c>
      <c r="M117" s="1">
        <f>(Gewinne!$O117-Gewinne!M117)/Gewinne!$O117</f>
        <v>-0.17943643281666874</v>
      </c>
      <c r="N117" s="1">
        <f>(Gewinne!$O117-Gewinne!N117)/Gewinne!$O117</f>
        <v>-0.16012799064297434</v>
      </c>
      <c r="O117" s="1"/>
    </row>
    <row r="118" spans="2:15" x14ac:dyDescent="0.25">
      <c r="B118" t="s">
        <v>128</v>
      </c>
      <c r="C118" s="1">
        <f>(Gewinne!$O118-Gewinne!C118)/Gewinne!$O118</f>
        <v>1</v>
      </c>
      <c r="D118" s="1">
        <f>(Gewinne!$O118-Gewinne!D118)/Gewinne!$O118</f>
        <v>1</v>
      </c>
      <c r="E118" s="1">
        <f>(Gewinne!$O118-Gewinne!E118)/Gewinne!$O118</f>
        <v>0.15947067824599034</v>
      </c>
      <c r="F118" s="1">
        <f>(Gewinne!$O118-Gewinne!F118)/Gewinne!$O118</f>
        <v>0.64584992282986375</v>
      </c>
      <c r="G118" s="1">
        <f>(Gewinne!$O118-Gewinne!G118)/Gewinne!$O118</f>
        <v>-0.15316446457399946</v>
      </c>
      <c r="H118" s="1">
        <f>(Gewinne!$O118-Gewinne!H118)/Gewinne!$O118</f>
        <v>-0.17353911915568876</v>
      </c>
      <c r="I118" s="1">
        <f>(Gewinne!$O118-Gewinne!I118)/Gewinne!$O118</f>
        <v>-0.20523302628276105</v>
      </c>
      <c r="J118" s="1">
        <f>(Gewinne!$O118-Gewinne!J118)/Gewinne!$O118</f>
        <v>-0.18712222221014832</v>
      </c>
      <c r="K118" s="1">
        <f>(Gewinne!$O118-Gewinne!K118)/Gewinne!$O118</f>
        <v>2.0103694314257969E-2</v>
      </c>
      <c r="L118" s="1">
        <f>(Gewinne!$O118-Gewinne!L118)/Gewinne!$O118</f>
        <v>-0.16264627643679344</v>
      </c>
      <c r="M118" s="1">
        <f>(Gewinne!$O118-Gewinne!M118)/Gewinne!$O118</f>
        <v>-0.15585472490956367</v>
      </c>
      <c r="N118" s="1">
        <f>(Gewinne!$O118-Gewinne!N118)/Gewinne!$O118</f>
        <v>-0.13849296558259011</v>
      </c>
      <c r="O118" s="1"/>
    </row>
    <row r="119" spans="2:15" x14ac:dyDescent="0.25">
      <c r="B119" t="s">
        <v>129</v>
      </c>
      <c r="C119" s="1">
        <f>(Gewinne!$O119-Gewinne!C119)/Gewinne!$O119</f>
        <v>1</v>
      </c>
      <c r="D119" s="1">
        <f>(Gewinne!$O119-Gewinne!D119)/Gewinne!$O119</f>
        <v>1</v>
      </c>
      <c r="E119" s="1">
        <f>(Gewinne!$O119-Gewinne!E119)/Gewinne!$O119</f>
        <v>2.9838171155033472E-2</v>
      </c>
      <c r="F119" s="1">
        <f>(Gewinne!$O119-Gewinne!F119)/Gewinne!$O119</f>
        <v>0.94273090616734312</v>
      </c>
      <c r="G119" s="1">
        <f>(Gewinne!$O119-Gewinne!G119)/Gewinne!$O119</f>
        <v>-0.2254691396338917</v>
      </c>
      <c r="H119" s="1">
        <f>(Gewinne!$O119-Gewinne!H119)/Gewinne!$O119</f>
        <v>-0.20484332084904458</v>
      </c>
      <c r="I119" s="1">
        <f>(Gewinne!$O119-Gewinne!I119)/Gewinne!$O119</f>
        <v>-0.26126037127473017</v>
      </c>
      <c r="J119" s="1">
        <f>(Gewinne!$O119-Gewinne!J119)/Gewinne!$O119</f>
        <v>-0.21222285379497904</v>
      </c>
      <c r="K119" s="1">
        <f>(Gewinne!$O119-Gewinne!K119)/Gewinne!$O119</f>
        <v>-3.3296227179771695E-2</v>
      </c>
      <c r="L119" s="1">
        <f>(Gewinne!$O119-Gewinne!L119)/Gewinne!$O119</f>
        <v>-0.235391790200845</v>
      </c>
      <c r="M119" s="1">
        <f>(Gewinne!$O119-Gewinne!M119)/Gewinne!$O119</f>
        <v>-0.25344959370964237</v>
      </c>
      <c r="N119" s="1">
        <f>(Gewinne!$O119-Gewinne!N119)/Gewinne!$O119</f>
        <v>-0.17580609148906443</v>
      </c>
      <c r="O119" s="1"/>
    </row>
    <row r="120" spans="2:15" x14ac:dyDescent="0.25">
      <c r="B120" t="s">
        <v>130</v>
      </c>
      <c r="C120" s="1">
        <f>(Gewinne!$O120-Gewinne!C120)/Gewinne!$O120</f>
        <v>1</v>
      </c>
      <c r="D120" s="1">
        <f>(Gewinne!$O120-Gewinne!D120)/Gewinne!$O120</f>
        <v>1</v>
      </c>
      <c r="E120" s="1">
        <f>(Gewinne!$O120-Gewinne!E120)/Gewinne!$O120</f>
        <v>0.12214237654909181</v>
      </c>
      <c r="F120" s="1">
        <f>(Gewinne!$O120-Gewinne!F120)/Gewinne!$O120</f>
        <v>0.8736291683201205</v>
      </c>
      <c r="G120" s="1">
        <f>(Gewinne!$O120-Gewinne!G120)/Gewinne!$O120</f>
        <v>-0.13846623192450783</v>
      </c>
      <c r="H120" s="1">
        <f>(Gewinne!$O120-Gewinne!H120)/Gewinne!$O120</f>
        <v>-0.13512875866697183</v>
      </c>
      <c r="I120" s="1">
        <f>(Gewinne!$O120-Gewinne!I120)/Gewinne!$O120</f>
        <v>-0.17748517244902881</v>
      </c>
      <c r="J120" s="1">
        <f>(Gewinne!$O120-Gewinne!J120)/Gewinne!$O120</f>
        <v>-0.16661577298071698</v>
      </c>
      <c r="K120" s="1">
        <f>(Gewinne!$O120-Gewinne!K120)/Gewinne!$O120</f>
        <v>-3.8380942461664007E-2</v>
      </c>
      <c r="L120" s="1">
        <f>(Gewinne!$O120-Gewinne!L120)/Gewinne!$O120</f>
        <v>-0.11154746423137298</v>
      </c>
      <c r="M120" s="1">
        <f>(Gewinne!$O120-Gewinne!M120)/Gewinne!$O120</f>
        <v>-0.13490977703412499</v>
      </c>
      <c r="N120" s="1">
        <f>(Gewinne!$O120-Gewinne!N120)/Gewinne!$O120</f>
        <v>-0.14680991506834784</v>
      </c>
      <c r="O120" s="1"/>
    </row>
    <row r="121" spans="2:15" x14ac:dyDescent="0.25">
      <c r="B121" t="s">
        <v>131</v>
      </c>
      <c r="C121" s="1">
        <f>(Gewinne!$O121-Gewinne!C121)/Gewinne!$O121</f>
        <v>1</v>
      </c>
      <c r="D121" s="1">
        <f>(Gewinne!$O121-Gewinne!D121)/Gewinne!$O121</f>
        <v>0.82925928368061785</v>
      </c>
      <c r="E121" s="1">
        <f>(Gewinne!$O121-Gewinne!E121)/Gewinne!$O121</f>
        <v>0.16351706432984306</v>
      </c>
      <c r="F121" s="1">
        <f>(Gewinne!$O121-Gewinne!F121)/Gewinne!$O121</f>
        <v>0.28998805032574809</v>
      </c>
      <c r="G121" s="1">
        <f>(Gewinne!$O121-Gewinne!G121)/Gewinne!$O121</f>
        <v>-7.3407698755319856E-2</v>
      </c>
      <c r="H121" s="1">
        <f>(Gewinne!$O121-Gewinne!H121)/Gewinne!$O121</f>
        <v>-8.6317437855356297E-2</v>
      </c>
      <c r="I121" s="1">
        <f>(Gewinne!$O121-Gewinne!I121)/Gewinne!$O121</f>
        <v>-8.2147981452499602E-2</v>
      </c>
      <c r="J121" s="1">
        <f>(Gewinne!$O121-Gewinne!J121)/Gewinne!$O121</f>
        <v>-0.10236043574264277</v>
      </c>
      <c r="K121" s="1">
        <f>(Gewinne!$O121-Gewinne!K121)/Gewinne!$O121</f>
        <v>5.4079901842542265E-2</v>
      </c>
      <c r="L121" s="1">
        <f>(Gewinne!$O121-Gewinne!L121)/Gewinne!$O121</f>
        <v>-9.8895078757669258E-2</v>
      </c>
      <c r="M121" s="1">
        <f>(Gewinne!$O121-Gewinne!M121)/Gewinne!$O121</f>
        <v>-0.13895994766585829</v>
      </c>
      <c r="N121" s="1">
        <f>(Gewinne!$O121-Gewinne!N121)/Gewinne!$O121</f>
        <v>-0.13311077990913586</v>
      </c>
      <c r="O121" s="1"/>
    </row>
    <row r="122" spans="2:15" x14ac:dyDescent="0.25">
      <c r="B122" t="s">
        <v>132</v>
      </c>
      <c r="C122" s="1" t="e">
        <f>(Gewinne!$O122-Gewinne!C122)/Gewinne!$O122</f>
        <v>#DIV/0!</v>
      </c>
      <c r="D122" s="1" t="e">
        <f>(Gewinne!$O122-Gewinne!D122)/Gewinne!$O122</f>
        <v>#DIV/0!</v>
      </c>
      <c r="E122" s="1" t="e">
        <f>(Gewinne!$O122-Gewinne!E122)/Gewinne!$O122</f>
        <v>#DIV/0!</v>
      </c>
      <c r="F122" s="1" t="e">
        <f>(Gewinne!$O122-Gewinne!F122)/Gewinne!$O122</f>
        <v>#DIV/0!</v>
      </c>
      <c r="G122" s="1" t="e">
        <f>(Gewinne!$O122-Gewinne!G122)/Gewinne!$O122</f>
        <v>#DIV/0!</v>
      </c>
      <c r="H122" s="1" t="e">
        <f>(Gewinne!$O122-Gewinne!H122)/Gewinne!$O122</f>
        <v>#DIV/0!</v>
      </c>
      <c r="I122" s="1" t="e">
        <f>(Gewinne!$O122-Gewinne!I122)/Gewinne!$O122</f>
        <v>#DIV/0!</v>
      </c>
      <c r="J122" s="1" t="e">
        <f>(Gewinne!$O122-Gewinne!J122)/Gewinne!$O122</f>
        <v>#DIV/0!</v>
      </c>
      <c r="K122" s="1" t="e">
        <f>(Gewinne!$O122-Gewinne!K122)/Gewinne!$O122</f>
        <v>#DIV/0!</v>
      </c>
      <c r="L122" s="1" t="e">
        <f>(Gewinne!$O122-Gewinne!L122)/Gewinne!$O122</f>
        <v>#DIV/0!</v>
      </c>
      <c r="M122" s="1" t="e">
        <f>(Gewinne!$O122-Gewinne!M122)/Gewinne!$O122</f>
        <v>#DIV/0!</v>
      </c>
      <c r="N122" s="1" t="e">
        <f>(Gewinne!$O122-Gewinne!N122)/Gewinne!$O122</f>
        <v>#DIV/0!</v>
      </c>
      <c r="O122" s="1"/>
    </row>
    <row r="123" spans="2:15" x14ac:dyDescent="0.25">
      <c r="B123" t="s">
        <v>133</v>
      </c>
      <c r="C123" s="1">
        <f>(Gewinne!$O123-Gewinne!C123)/Gewinne!$O123</f>
        <v>-1.3045221565361449</v>
      </c>
      <c r="D123" s="1">
        <f>(Gewinne!$O123-Gewinne!D123)/Gewinne!$O123</f>
        <v>0.50419278523672562</v>
      </c>
      <c r="E123" s="1">
        <f>(Gewinne!$O123-Gewinne!E123)/Gewinne!$O123</f>
        <v>-0.72924785117592683</v>
      </c>
      <c r="F123" s="1">
        <f>(Gewinne!$O123-Gewinne!F123)/Gewinne!$O123</f>
        <v>6.67139283021186E-2</v>
      </c>
      <c r="G123" s="1">
        <f>(Gewinne!$O123-Gewinne!G123)/Gewinne!$O123</f>
        <v>-1.2476088741260409</v>
      </c>
      <c r="H123" s="1">
        <f>(Gewinne!$O123-Gewinne!H123)/Gewinne!$O123</f>
        <v>-1.2375723153808809</v>
      </c>
      <c r="I123" s="1">
        <f>(Gewinne!$O123-Gewinne!I123)/Gewinne!$O123</f>
        <v>-1.3045223669505928</v>
      </c>
      <c r="J123" s="1">
        <f>(Gewinne!$O123-Gewinne!J123)/Gewinne!$O123</f>
        <v>-1.1405124536755853</v>
      </c>
      <c r="K123" s="1">
        <f>(Gewinne!$O123-Gewinne!K123)/Gewinne!$O123</f>
        <v>0</v>
      </c>
      <c r="L123" s="1">
        <f>(Gewinne!$O123-Gewinne!L123)/Gewinne!$O123</f>
        <v>-1.2476088741260409</v>
      </c>
      <c r="M123" s="1">
        <f>(Gewinne!$O123-Gewinne!M123)/Gewinne!$O123</f>
        <v>-1.1323650914856196</v>
      </c>
      <c r="N123" s="1">
        <f>(Gewinne!$O123-Gewinne!N123)/Gewinne!$O123</f>
        <v>-1.2858660464515905</v>
      </c>
      <c r="O123" s="1"/>
    </row>
    <row r="124" spans="2:15" x14ac:dyDescent="0.25">
      <c r="B124" t="s">
        <v>134</v>
      </c>
      <c r="C124" s="1" t="e">
        <f>(Gewinne!$O124-Gewinne!C124)/Gewinne!$O124</f>
        <v>#DIV/0!</v>
      </c>
      <c r="D124" s="1" t="e">
        <f>(Gewinne!$O124-Gewinne!D124)/Gewinne!$O124</f>
        <v>#DIV/0!</v>
      </c>
      <c r="E124" s="1" t="e">
        <f>(Gewinne!$O124-Gewinne!E124)/Gewinne!$O124</f>
        <v>#DIV/0!</v>
      </c>
      <c r="F124" s="1" t="e">
        <f>(Gewinne!$O124-Gewinne!F124)/Gewinne!$O124</f>
        <v>#DIV/0!</v>
      </c>
      <c r="G124" s="1" t="e">
        <f>(Gewinne!$O124-Gewinne!G124)/Gewinne!$O124</f>
        <v>#DIV/0!</v>
      </c>
      <c r="H124" s="1" t="e">
        <f>(Gewinne!$O124-Gewinne!H124)/Gewinne!$O124</f>
        <v>#DIV/0!</v>
      </c>
      <c r="I124" s="1" t="e">
        <f>(Gewinne!$O124-Gewinne!I124)/Gewinne!$O124</f>
        <v>#DIV/0!</v>
      </c>
      <c r="J124" s="1" t="e">
        <f>(Gewinne!$O124-Gewinne!J124)/Gewinne!$O124</f>
        <v>#DIV/0!</v>
      </c>
      <c r="K124" s="1" t="e">
        <f>(Gewinne!$O124-Gewinne!K124)/Gewinne!$O124</f>
        <v>#DIV/0!</v>
      </c>
      <c r="L124" s="1" t="e">
        <f>(Gewinne!$O124-Gewinne!L124)/Gewinne!$O124</f>
        <v>#DIV/0!</v>
      </c>
      <c r="M124" s="1" t="e">
        <f>(Gewinne!$O124-Gewinne!M124)/Gewinne!$O124</f>
        <v>#DIV/0!</v>
      </c>
      <c r="N124" s="1" t="e">
        <f>(Gewinne!$O124-Gewinne!N124)/Gewinne!$O124</f>
        <v>#DIV/0!</v>
      </c>
      <c r="O124" s="1"/>
    </row>
    <row r="125" spans="2:15" x14ac:dyDescent="0.25">
      <c r="B125" t="s">
        <v>135</v>
      </c>
      <c r="C125" s="1">
        <f>(Gewinne!$O125-Gewinne!C125)/Gewinne!$O125</f>
        <v>-1.4375</v>
      </c>
      <c r="D125" s="1">
        <f>(Gewinne!$O125-Gewinne!D125)/Gewinne!$O125</f>
        <v>1</v>
      </c>
      <c r="E125" s="1">
        <f>(Gewinne!$O125-Gewinne!E125)/Gewinne!$O125</f>
        <v>-1.4375</v>
      </c>
      <c r="F125" s="1">
        <f>(Gewinne!$O125-Gewinne!F125)/Gewinne!$O125</f>
        <v>1</v>
      </c>
      <c r="G125" s="1">
        <f>(Gewinne!$O125-Gewinne!G125)/Gewinne!$O125</f>
        <v>-1.4125000000000001</v>
      </c>
      <c r="H125" s="1">
        <f>(Gewinne!$O125-Gewinne!H125)/Gewinne!$O125</f>
        <v>-1.375</v>
      </c>
      <c r="I125" s="1">
        <f>(Gewinne!$O125-Gewinne!I125)/Gewinne!$O125</f>
        <v>-1.4375</v>
      </c>
      <c r="J125" s="1">
        <f>(Gewinne!$O125-Gewinne!J125)/Gewinne!$O125</f>
        <v>-1.4125000000000001</v>
      </c>
      <c r="K125" s="1">
        <f>(Gewinne!$O125-Gewinne!K125)/Gewinne!$O125</f>
        <v>0.1</v>
      </c>
      <c r="L125" s="1">
        <f>(Gewinne!$O125-Gewinne!L125)/Gewinne!$O125</f>
        <v>-1.4375</v>
      </c>
      <c r="M125" s="1">
        <f>(Gewinne!$O125-Gewinne!M125)/Gewinne!$O125</f>
        <v>-1.4375</v>
      </c>
      <c r="N125" s="1">
        <f>(Gewinne!$O125-Gewinne!N125)/Gewinne!$O125</f>
        <v>-1.4375</v>
      </c>
      <c r="O125" s="1"/>
    </row>
    <row r="126" spans="2:15" x14ac:dyDescent="0.25">
      <c r="B126" t="s">
        <v>136</v>
      </c>
      <c r="C126" s="1">
        <f>(Gewinne!$O126-Gewinne!C126)/Gewinne!$O126</f>
        <v>-0.72531914893617033</v>
      </c>
      <c r="D126" s="1">
        <f>(Gewinne!$O126-Gewinne!D126)/Gewinne!$O126</f>
        <v>1</v>
      </c>
      <c r="E126" s="1">
        <f>(Gewinne!$O126-Gewinne!E126)/Gewinne!$O126</f>
        <v>-0.68276587234042552</v>
      </c>
      <c r="F126" s="1">
        <f>(Gewinne!$O126-Gewinne!F126)/Gewinne!$O126</f>
        <v>1</v>
      </c>
      <c r="G126" s="1">
        <f>(Gewinne!$O126-Gewinne!G126)/Gewinne!$O126</f>
        <v>-0.68085106382978722</v>
      </c>
      <c r="H126" s="1">
        <f>(Gewinne!$O126-Gewinne!H126)/Gewinne!$O126</f>
        <v>-0.72531906382978717</v>
      </c>
      <c r="I126" s="1">
        <f>(Gewinne!$O126-Gewinne!I126)/Gewinne!$O126</f>
        <v>-0.66723404255319152</v>
      </c>
      <c r="J126" s="1">
        <f>(Gewinne!$O126-Gewinne!J126)/Gewinne!$O126</f>
        <v>-0.72531906382978717</v>
      </c>
      <c r="K126" s="1">
        <f>(Gewinne!$O126-Gewinne!K126)/Gewinne!$O126</f>
        <v>0</v>
      </c>
      <c r="L126" s="1">
        <f>(Gewinne!$O126-Gewinne!L126)/Gewinne!$O126</f>
        <v>-0.68085106382978722</v>
      </c>
      <c r="M126" s="1">
        <f>(Gewinne!$O126-Gewinne!M126)/Gewinne!$O126</f>
        <v>-0.72531906382978717</v>
      </c>
      <c r="N126" s="1">
        <f>(Gewinne!$O126-Gewinne!N126)/Gewinne!$O126</f>
        <v>-0.7040424680851064</v>
      </c>
      <c r="O126" s="1"/>
    </row>
    <row r="127" spans="2:15" x14ac:dyDescent="0.25">
      <c r="B127" t="s">
        <v>137</v>
      </c>
      <c r="C127" s="1">
        <f>(Gewinne!$O127-Gewinne!C127)/Gewinne!$O127</f>
        <v>-0.96402999999999994</v>
      </c>
      <c r="D127" s="1">
        <f>(Gewinne!$O127-Gewinne!D127)/Gewinne!$O127</f>
        <v>1</v>
      </c>
      <c r="E127" s="1">
        <f>(Gewinne!$O127-Gewinne!E127)/Gewinne!$O127</f>
        <v>-0.45153064999999992</v>
      </c>
      <c r="F127" s="1">
        <f>(Gewinne!$O127-Gewinne!F127)/Gewinne!$O127</f>
        <v>1</v>
      </c>
      <c r="G127" s="1">
        <f>(Gewinne!$O127-Gewinne!G127)/Gewinne!$O127</f>
        <v>-0.9640306500000001</v>
      </c>
      <c r="H127" s="1">
        <f>(Gewinne!$O127-Gewinne!H127)/Gewinne!$O127</f>
        <v>-0.93125000000000002</v>
      </c>
      <c r="I127" s="1">
        <f>(Gewinne!$O127-Gewinne!I127)/Gewinne!$O127</f>
        <v>-0.95</v>
      </c>
      <c r="J127" s="1">
        <f>(Gewinne!$O127-Gewinne!J127)/Gewinne!$O127</f>
        <v>-0.95153065000000014</v>
      </c>
      <c r="K127" s="1">
        <f>(Gewinne!$O127-Gewinne!K127)/Gewinne!$O127</f>
        <v>0</v>
      </c>
      <c r="L127" s="1">
        <f>(Gewinne!$O127-Gewinne!L127)/Gewinne!$O127</f>
        <v>-0.9015306500000001</v>
      </c>
      <c r="M127" s="1">
        <f>(Gewinne!$O127-Gewinne!M127)/Gewinne!$O127</f>
        <v>-0.96250000000000002</v>
      </c>
      <c r="N127" s="1">
        <f>(Gewinne!$O127-Gewinne!N127)/Gewinne!$O127</f>
        <v>-0.93125000000000002</v>
      </c>
      <c r="O127" s="1"/>
    </row>
    <row r="128" spans="2:15" x14ac:dyDescent="0.25">
      <c r="B128" t="s">
        <v>138</v>
      </c>
      <c r="C128" s="1">
        <f>(Gewinne!$O128-Gewinne!C128)/Gewinne!$O128</f>
        <v>-0.74358974358974361</v>
      </c>
      <c r="D128" s="1">
        <f>(Gewinne!$O128-Gewinne!D128)/Gewinne!$O128</f>
        <v>1</v>
      </c>
      <c r="E128" s="1">
        <f>(Gewinne!$O128-Gewinne!E128)/Gewinne!$O128</f>
        <v>-0.12020561538461531</v>
      </c>
      <c r="F128" s="1">
        <f>(Gewinne!$O128-Gewinne!F128)/Gewinne!$O128</f>
        <v>-0.68595044871794864</v>
      </c>
      <c r="G128" s="1">
        <f>(Gewinne!$O128-Gewinne!G128)/Gewinne!$O128</f>
        <v>-0.7291799743589743</v>
      </c>
      <c r="H128" s="1">
        <f>(Gewinne!$O128-Gewinne!H128)/Gewinne!$O128</f>
        <v>-0.66507741025641021</v>
      </c>
      <c r="I128" s="1">
        <f>(Gewinne!$O128-Gewinne!I128)/Gewinne!$O128</f>
        <v>-0.7291799743589743</v>
      </c>
      <c r="J128" s="1">
        <f>(Gewinne!$O128-Gewinne!J128)/Gewinne!$O128</f>
        <v>-0.71794871794871795</v>
      </c>
      <c r="K128" s="1">
        <f>(Gewinne!$O128-Gewinne!K128)/Gewinne!$O128</f>
        <v>5.128205128205128E-2</v>
      </c>
      <c r="L128" s="1">
        <f>(Gewinne!$O128-Gewinne!L128)/Gewinne!$O128</f>
        <v>-0.74358974358974361</v>
      </c>
      <c r="M128" s="1">
        <f>(Gewinne!$O128-Gewinne!M128)/Gewinne!$O128</f>
        <v>-0.74358974358974361</v>
      </c>
      <c r="N128" s="1">
        <f>(Gewinne!$O128-Gewinne!N128)/Gewinne!$O128</f>
        <v>-0.74358974358974361</v>
      </c>
      <c r="O128" s="1"/>
    </row>
    <row r="129" spans="2:15" x14ac:dyDescent="0.25">
      <c r="B129" t="s">
        <v>139</v>
      </c>
      <c r="C129" s="1">
        <f>(Gewinne!$O129-Gewinne!C129)/Gewinne!$O129</f>
        <v>-0.62352941176470589</v>
      </c>
      <c r="D129" s="1">
        <f>(Gewinne!$O129-Gewinne!D129)/Gewinne!$O129</f>
        <v>1</v>
      </c>
      <c r="E129" s="1">
        <f>(Gewinne!$O129-Gewinne!E129)/Gewinne!$O129</f>
        <v>-0.38823529411764707</v>
      </c>
      <c r="F129" s="1">
        <f>(Gewinne!$O129-Gewinne!F129)/Gewinne!$O129</f>
        <v>0.27426470588235297</v>
      </c>
      <c r="G129" s="1">
        <f>(Gewinne!$O129-Gewinne!G129)/Gewinne!$O129</f>
        <v>-0.62352941176470589</v>
      </c>
      <c r="H129" s="1">
        <f>(Gewinne!$O129-Gewinne!H129)/Gewinne!$O129</f>
        <v>-0.6</v>
      </c>
      <c r="I129" s="1">
        <f>(Gewinne!$O129-Gewinne!I129)/Gewinne!$O129</f>
        <v>-0.58823529411764708</v>
      </c>
      <c r="J129" s="1">
        <f>(Gewinne!$O129-Gewinne!J129)/Gewinne!$O129</f>
        <v>-0.62352941176470589</v>
      </c>
      <c r="K129" s="1">
        <f>(Gewinne!$O129-Gewinne!K129)/Gewinne!$O129</f>
        <v>0.92941176470588238</v>
      </c>
      <c r="L129" s="1">
        <f>(Gewinne!$O129-Gewinne!L129)/Gewinne!$O129</f>
        <v>-0.62352941176470589</v>
      </c>
      <c r="M129" s="1">
        <f>(Gewinne!$O129-Gewinne!M129)/Gewinne!$O129</f>
        <v>-0.62352941176470589</v>
      </c>
      <c r="N129" s="1">
        <f>(Gewinne!$O129-Gewinne!N129)/Gewinne!$O129</f>
        <v>-0.62352941176470589</v>
      </c>
      <c r="O129" s="1"/>
    </row>
    <row r="130" spans="2:15" x14ac:dyDescent="0.25">
      <c r="B130" t="s">
        <v>140</v>
      </c>
      <c r="C130" s="1">
        <f>(Gewinne!$O130-Gewinne!C130)/Gewinne!$O130</f>
        <v>-4.3221329917743905</v>
      </c>
      <c r="D130" s="1">
        <f>(Gewinne!$O130-Gewinne!D130)/Gewinne!$O130</f>
        <v>1</v>
      </c>
      <c r="E130" s="1">
        <f>(Gewinne!$O130-Gewinne!E130)/Gewinne!$O130</f>
        <v>-3.7055344351967348</v>
      </c>
      <c r="F130" s="1">
        <f>(Gewinne!$O130-Gewinne!F130)/Gewinne!$O130</f>
        <v>-2.1571151573646672</v>
      </c>
      <c r="G130" s="1">
        <f>(Gewinne!$O130-Gewinne!G130)/Gewinne!$O130</f>
        <v>-4.2687753278446134</v>
      </c>
      <c r="H130" s="1">
        <f>(Gewinne!$O130-Gewinne!H130)/Gewinne!$O130</f>
        <v>-3.8152179492611231</v>
      </c>
      <c r="I130" s="1">
        <f>(Gewinne!$O130-Gewinne!I130)/Gewinne!$O130</f>
        <v>-4.402174556839757</v>
      </c>
      <c r="J130" s="1">
        <f>(Gewinne!$O130-Gewinne!J130)/Gewinne!$O130</f>
        <v>-4.1324119679811959</v>
      </c>
      <c r="K130" s="1">
        <f>(Gewinne!$O130-Gewinne!K130)/Gewinne!$O130</f>
        <v>0.10671938319611533</v>
      </c>
      <c r="L130" s="1">
        <f>(Gewinne!$O130-Gewinne!L130)/Gewinne!$O130</f>
        <v>-4.3725305801724561</v>
      </c>
      <c r="M130" s="1">
        <f>(Gewinne!$O130-Gewinne!M130)/Gewinne!$O130</f>
        <v>-4.3458507343734265</v>
      </c>
      <c r="N130" s="1">
        <f>(Gewinne!$O130-Gewinne!N130)/Gewinne!$O130</f>
        <v>-4.2124515053782829</v>
      </c>
      <c r="O130" s="1"/>
    </row>
    <row r="131" spans="2:15" x14ac:dyDescent="0.25">
      <c r="B131" t="s">
        <v>141</v>
      </c>
      <c r="C131" s="1" t="e">
        <f>(Gewinne!$O131-Gewinne!C131)/Gewinne!$O131</f>
        <v>#DIV/0!</v>
      </c>
      <c r="D131" s="1" t="e">
        <f>(Gewinne!$O131-Gewinne!D131)/Gewinne!$O131</f>
        <v>#DIV/0!</v>
      </c>
      <c r="E131" s="1" t="e">
        <f>(Gewinne!$O131-Gewinne!E131)/Gewinne!$O131</f>
        <v>#DIV/0!</v>
      </c>
      <c r="F131" s="1" t="e">
        <f>(Gewinne!$O131-Gewinne!F131)/Gewinne!$O131</f>
        <v>#DIV/0!</v>
      </c>
      <c r="G131" s="1" t="e">
        <f>(Gewinne!$O131-Gewinne!G131)/Gewinne!$O131</f>
        <v>#DIV/0!</v>
      </c>
      <c r="H131" s="1" t="e">
        <f>(Gewinne!$O131-Gewinne!H131)/Gewinne!$O131</f>
        <v>#DIV/0!</v>
      </c>
      <c r="I131" s="1" t="e">
        <f>(Gewinne!$O131-Gewinne!I131)/Gewinne!$O131</f>
        <v>#DIV/0!</v>
      </c>
      <c r="J131" s="1" t="e">
        <f>(Gewinne!$O131-Gewinne!J131)/Gewinne!$O131</f>
        <v>#DIV/0!</v>
      </c>
      <c r="K131" s="1" t="e">
        <f>(Gewinne!$O131-Gewinne!K131)/Gewinne!$O131</f>
        <v>#DIV/0!</v>
      </c>
      <c r="L131" s="1" t="e">
        <f>(Gewinne!$O131-Gewinne!L131)/Gewinne!$O131</f>
        <v>#DIV/0!</v>
      </c>
      <c r="M131" s="1" t="e">
        <f>(Gewinne!$O131-Gewinne!M131)/Gewinne!$O131</f>
        <v>#DIV/0!</v>
      </c>
      <c r="N131" s="1" t="e">
        <f>(Gewinne!$O131-Gewinne!N131)/Gewinne!$O131</f>
        <v>#DIV/0!</v>
      </c>
      <c r="O131" s="1"/>
    </row>
    <row r="132" spans="2:15" x14ac:dyDescent="0.25">
      <c r="B132" t="s">
        <v>142</v>
      </c>
      <c r="C132" s="1" t="e">
        <f>(Gewinne!$O132-Gewinne!C132)/Gewinne!$O132</f>
        <v>#DIV/0!</v>
      </c>
      <c r="D132" s="1" t="e">
        <f>(Gewinne!$O132-Gewinne!D132)/Gewinne!$O132</f>
        <v>#DIV/0!</v>
      </c>
      <c r="E132" s="1" t="e">
        <f>(Gewinne!$O132-Gewinne!E132)/Gewinne!$O132</f>
        <v>#DIV/0!</v>
      </c>
      <c r="F132" s="1" t="e">
        <f>(Gewinne!$O132-Gewinne!F132)/Gewinne!$O132</f>
        <v>#DIV/0!</v>
      </c>
      <c r="G132" s="1" t="e">
        <f>(Gewinne!$O132-Gewinne!G132)/Gewinne!$O132</f>
        <v>#DIV/0!</v>
      </c>
      <c r="H132" s="1" t="e">
        <f>(Gewinne!$O132-Gewinne!H132)/Gewinne!$O132</f>
        <v>#DIV/0!</v>
      </c>
      <c r="I132" s="1" t="e">
        <f>(Gewinne!$O132-Gewinne!I132)/Gewinne!$O132</f>
        <v>#DIV/0!</v>
      </c>
      <c r="J132" s="1" t="e">
        <f>(Gewinne!$O132-Gewinne!J132)/Gewinne!$O132</f>
        <v>#DIV/0!</v>
      </c>
      <c r="K132" s="1" t="e">
        <f>(Gewinne!$O132-Gewinne!K132)/Gewinne!$O132</f>
        <v>#DIV/0!</v>
      </c>
      <c r="L132" s="1" t="e">
        <f>(Gewinne!$O132-Gewinne!L132)/Gewinne!$O132</f>
        <v>#DIV/0!</v>
      </c>
      <c r="M132" s="1" t="e">
        <f>(Gewinne!$O132-Gewinne!M132)/Gewinne!$O132</f>
        <v>#DIV/0!</v>
      </c>
      <c r="N132" s="1" t="e">
        <f>(Gewinne!$O132-Gewinne!N132)/Gewinne!$O132</f>
        <v>#DIV/0!</v>
      </c>
      <c r="O132" s="1"/>
    </row>
    <row r="133" spans="2:15" x14ac:dyDescent="0.25">
      <c r="B133" t="s">
        <v>143</v>
      </c>
      <c r="C133" s="1" t="e">
        <f>(Gewinne!$O133-Gewinne!C133)/Gewinne!$O133</f>
        <v>#DIV/0!</v>
      </c>
      <c r="D133" s="1" t="e">
        <f>(Gewinne!$O133-Gewinne!D133)/Gewinne!$O133</f>
        <v>#DIV/0!</v>
      </c>
      <c r="E133" s="1" t="e">
        <f>(Gewinne!$O133-Gewinne!E133)/Gewinne!$O133</f>
        <v>#DIV/0!</v>
      </c>
      <c r="F133" s="1" t="e">
        <f>(Gewinne!$O133-Gewinne!F133)/Gewinne!$O133</f>
        <v>#DIV/0!</v>
      </c>
      <c r="G133" s="1" t="e">
        <f>(Gewinne!$O133-Gewinne!G133)/Gewinne!$O133</f>
        <v>#DIV/0!</v>
      </c>
      <c r="H133" s="1" t="e">
        <f>(Gewinne!$O133-Gewinne!H133)/Gewinne!$O133</f>
        <v>#DIV/0!</v>
      </c>
      <c r="I133" s="1" t="e">
        <f>(Gewinne!$O133-Gewinne!I133)/Gewinne!$O133</f>
        <v>#DIV/0!</v>
      </c>
      <c r="J133" s="1" t="e">
        <f>(Gewinne!$O133-Gewinne!J133)/Gewinne!$O133</f>
        <v>#DIV/0!</v>
      </c>
      <c r="K133" s="1" t="e">
        <f>(Gewinne!$O133-Gewinne!K133)/Gewinne!$O133</f>
        <v>#DIV/0!</v>
      </c>
      <c r="L133" s="1" t="e">
        <f>(Gewinne!$O133-Gewinne!L133)/Gewinne!$O133</f>
        <v>#DIV/0!</v>
      </c>
      <c r="M133" s="1" t="e">
        <f>(Gewinne!$O133-Gewinne!M133)/Gewinne!$O133</f>
        <v>#DIV/0!</v>
      </c>
      <c r="N133" s="1" t="e">
        <f>(Gewinne!$O133-Gewinne!N133)/Gewinne!$O133</f>
        <v>#DIV/0!</v>
      </c>
      <c r="O133" s="1"/>
    </row>
    <row r="134" spans="2:15" x14ac:dyDescent="0.25">
      <c r="B134" t="s">
        <v>144</v>
      </c>
      <c r="C134" s="1" t="e">
        <f>(Gewinne!$O134-Gewinne!C134)/Gewinne!$O134</f>
        <v>#DIV/0!</v>
      </c>
      <c r="D134" s="1" t="e">
        <f>(Gewinne!$O134-Gewinne!D134)/Gewinne!$O134</f>
        <v>#DIV/0!</v>
      </c>
      <c r="E134" s="1" t="e">
        <f>(Gewinne!$O134-Gewinne!E134)/Gewinne!$O134</f>
        <v>#DIV/0!</v>
      </c>
      <c r="F134" s="1" t="e">
        <f>(Gewinne!$O134-Gewinne!F134)/Gewinne!$O134</f>
        <v>#DIV/0!</v>
      </c>
      <c r="G134" s="1" t="e">
        <f>(Gewinne!$O134-Gewinne!G134)/Gewinne!$O134</f>
        <v>#DIV/0!</v>
      </c>
      <c r="H134" s="1" t="e">
        <f>(Gewinne!$O134-Gewinne!H134)/Gewinne!$O134</f>
        <v>#DIV/0!</v>
      </c>
      <c r="I134" s="1" t="e">
        <f>(Gewinne!$O134-Gewinne!I134)/Gewinne!$O134</f>
        <v>#DIV/0!</v>
      </c>
      <c r="J134" s="1" t="e">
        <f>(Gewinne!$O134-Gewinne!J134)/Gewinne!$O134</f>
        <v>#DIV/0!</v>
      </c>
      <c r="K134" s="1" t="e">
        <f>(Gewinne!$O134-Gewinne!K134)/Gewinne!$O134</f>
        <v>#DIV/0!</v>
      </c>
      <c r="L134" s="1" t="e">
        <f>(Gewinne!$O134-Gewinne!L134)/Gewinne!$O134</f>
        <v>#DIV/0!</v>
      </c>
      <c r="M134" s="1" t="e">
        <f>(Gewinne!$O134-Gewinne!M134)/Gewinne!$O134</f>
        <v>#DIV/0!</v>
      </c>
      <c r="N134" s="1" t="e">
        <f>(Gewinne!$O134-Gewinne!N134)/Gewinne!$O134</f>
        <v>#DIV/0!</v>
      </c>
      <c r="O134" s="1"/>
    </row>
    <row r="135" spans="2:15" x14ac:dyDescent="0.25">
      <c r="B135" t="s">
        <v>145</v>
      </c>
      <c r="C135" s="1" t="e">
        <f>(Gewinne!$O135-Gewinne!C135)/Gewinne!$O135</f>
        <v>#DIV/0!</v>
      </c>
      <c r="D135" s="1" t="e">
        <f>(Gewinne!$O135-Gewinne!D135)/Gewinne!$O135</f>
        <v>#DIV/0!</v>
      </c>
      <c r="E135" s="1" t="e">
        <f>(Gewinne!$O135-Gewinne!E135)/Gewinne!$O135</f>
        <v>#DIV/0!</v>
      </c>
      <c r="F135" s="1" t="e">
        <f>(Gewinne!$O135-Gewinne!F135)/Gewinne!$O135</f>
        <v>#DIV/0!</v>
      </c>
      <c r="G135" s="1" t="e">
        <f>(Gewinne!$O135-Gewinne!G135)/Gewinne!$O135</f>
        <v>#DIV/0!</v>
      </c>
      <c r="H135" s="1" t="e">
        <f>(Gewinne!$O135-Gewinne!H135)/Gewinne!$O135</f>
        <v>#DIV/0!</v>
      </c>
      <c r="I135" s="1" t="e">
        <f>(Gewinne!$O135-Gewinne!I135)/Gewinne!$O135</f>
        <v>#DIV/0!</v>
      </c>
      <c r="J135" s="1" t="e">
        <f>(Gewinne!$O135-Gewinne!J135)/Gewinne!$O135</f>
        <v>#DIV/0!</v>
      </c>
      <c r="K135" s="1" t="e">
        <f>(Gewinne!$O135-Gewinne!K135)/Gewinne!$O135</f>
        <v>#DIV/0!</v>
      </c>
      <c r="L135" s="1" t="e">
        <f>(Gewinne!$O135-Gewinne!L135)/Gewinne!$O135</f>
        <v>#DIV/0!</v>
      </c>
      <c r="M135" s="1" t="e">
        <f>(Gewinne!$O135-Gewinne!M135)/Gewinne!$O135</f>
        <v>#DIV/0!</v>
      </c>
      <c r="N135" s="1" t="e">
        <f>(Gewinne!$O135-Gewinne!N135)/Gewinne!$O135</f>
        <v>#DIV/0!</v>
      </c>
      <c r="O135" s="1"/>
    </row>
    <row r="136" spans="2:15" x14ac:dyDescent="0.25">
      <c r="B136" t="s">
        <v>146</v>
      </c>
      <c r="C136" s="1" t="e">
        <f>(Gewinne!$O136-Gewinne!C136)/Gewinne!$O136</f>
        <v>#DIV/0!</v>
      </c>
      <c r="D136" s="1" t="e">
        <f>(Gewinne!$O136-Gewinne!D136)/Gewinne!$O136</f>
        <v>#DIV/0!</v>
      </c>
      <c r="E136" s="1" t="e">
        <f>(Gewinne!$O136-Gewinne!E136)/Gewinne!$O136</f>
        <v>#DIV/0!</v>
      </c>
      <c r="F136" s="1" t="e">
        <f>(Gewinne!$O136-Gewinne!F136)/Gewinne!$O136</f>
        <v>#DIV/0!</v>
      </c>
      <c r="G136" s="1" t="e">
        <f>(Gewinne!$O136-Gewinne!G136)/Gewinne!$O136</f>
        <v>#DIV/0!</v>
      </c>
      <c r="H136" s="1" t="e">
        <f>(Gewinne!$O136-Gewinne!H136)/Gewinne!$O136</f>
        <v>#DIV/0!</v>
      </c>
      <c r="I136" s="1" t="e">
        <f>(Gewinne!$O136-Gewinne!I136)/Gewinne!$O136</f>
        <v>#DIV/0!</v>
      </c>
      <c r="J136" s="1" t="e">
        <f>(Gewinne!$O136-Gewinne!J136)/Gewinne!$O136</f>
        <v>#DIV/0!</v>
      </c>
      <c r="K136" s="1" t="e">
        <f>(Gewinne!$O136-Gewinne!K136)/Gewinne!$O136</f>
        <v>#DIV/0!</v>
      </c>
      <c r="L136" s="1" t="e">
        <f>(Gewinne!$O136-Gewinne!L136)/Gewinne!$O136</f>
        <v>#DIV/0!</v>
      </c>
      <c r="M136" s="1" t="e">
        <f>(Gewinne!$O136-Gewinne!M136)/Gewinne!$O136</f>
        <v>#DIV/0!</v>
      </c>
      <c r="N136" s="1" t="e">
        <f>(Gewinne!$O136-Gewinne!N136)/Gewinne!$O136</f>
        <v>#DIV/0!</v>
      </c>
      <c r="O136" s="1"/>
    </row>
    <row r="137" spans="2:15" x14ac:dyDescent="0.25">
      <c r="B137" t="s">
        <v>147</v>
      </c>
      <c r="C137" s="1" t="e">
        <f>(Gewinne!$O137-Gewinne!C137)/Gewinne!$O137</f>
        <v>#DIV/0!</v>
      </c>
      <c r="D137" s="1" t="e">
        <f>(Gewinne!$O137-Gewinne!D137)/Gewinne!$O137</f>
        <v>#DIV/0!</v>
      </c>
      <c r="E137" s="1" t="e">
        <f>(Gewinne!$O137-Gewinne!E137)/Gewinne!$O137</f>
        <v>#DIV/0!</v>
      </c>
      <c r="F137" s="1" t="e">
        <f>(Gewinne!$O137-Gewinne!F137)/Gewinne!$O137</f>
        <v>#DIV/0!</v>
      </c>
      <c r="G137" s="1" t="e">
        <f>(Gewinne!$O137-Gewinne!G137)/Gewinne!$O137</f>
        <v>#DIV/0!</v>
      </c>
      <c r="H137" s="1" t="e">
        <f>(Gewinne!$O137-Gewinne!H137)/Gewinne!$O137</f>
        <v>#DIV/0!</v>
      </c>
      <c r="I137" s="1" t="e">
        <f>(Gewinne!$O137-Gewinne!I137)/Gewinne!$O137</f>
        <v>#DIV/0!</v>
      </c>
      <c r="J137" s="1" t="e">
        <f>(Gewinne!$O137-Gewinne!J137)/Gewinne!$O137</f>
        <v>#DIV/0!</v>
      </c>
      <c r="K137" s="1" t="e">
        <f>(Gewinne!$O137-Gewinne!K137)/Gewinne!$O137</f>
        <v>#DIV/0!</v>
      </c>
      <c r="L137" s="1" t="e">
        <f>(Gewinne!$O137-Gewinne!L137)/Gewinne!$O137</f>
        <v>#DIV/0!</v>
      </c>
      <c r="M137" s="1" t="e">
        <f>(Gewinne!$O137-Gewinne!M137)/Gewinne!$O137</f>
        <v>#DIV/0!</v>
      </c>
      <c r="N137" s="1" t="e">
        <f>(Gewinne!$O137-Gewinne!N137)/Gewinne!$O137</f>
        <v>#DIV/0!</v>
      </c>
      <c r="O137" s="1"/>
    </row>
    <row r="138" spans="2:15" x14ac:dyDescent="0.25">
      <c r="B138" t="s">
        <v>148</v>
      </c>
      <c r="C138" s="1" t="e">
        <f>(Gewinne!$O138-Gewinne!C138)/Gewinne!$O138</f>
        <v>#DIV/0!</v>
      </c>
      <c r="D138" s="1" t="e">
        <f>(Gewinne!$O138-Gewinne!D138)/Gewinne!$O138</f>
        <v>#DIV/0!</v>
      </c>
      <c r="E138" s="1" t="e">
        <f>(Gewinne!$O138-Gewinne!E138)/Gewinne!$O138</f>
        <v>#DIV/0!</v>
      </c>
      <c r="F138" s="1" t="e">
        <f>(Gewinne!$O138-Gewinne!F138)/Gewinne!$O138</f>
        <v>#DIV/0!</v>
      </c>
      <c r="G138" s="1" t="e">
        <f>(Gewinne!$O138-Gewinne!G138)/Gewinne!$O138</f>
        <v>#DIV/0!</v>
      </c>
      <c r="H138" s="1" t="e">
        <f>(Gewinne!$O138-Gewinne!H138)/Gewinne!$O138</f>
        <v>#DIV/0!</v>
      </c>
      <c r="I138" s="1" t="e">
        <f>(Gewinne!$O138-Gewinne!I138)/Gewinne!$O138</f>
        <v>#DIV/0!</v>
      </c>
      <c r="J138" s="1" t="e">
        <f>(Gewinne!$O138-Gewinne!J138)/Gewinne!$O138</f>
        <v>#DIV/0!</v>
      </c>
      <c r="K138" s="1" t="e">
        <f>(Gewinne!$O138-Gewinne!K138)/Gewinne!$O138</f>
        <v>#DIV/0!</v>
      </c>
      <c r="L138" s="1" t="e">
        <f>(Gewinne!$O138-Gewinne!L138)/Gewinne!$O138</f>
        <v>#DIV/0!</v>
      </c>
      <c r="M138" s="1" t="e">
        <f>(Gewinne!$O138-Gewinne!M138)/Gewinne!$O138</f>
        <v>#DIV/0!</v>
      </c>
      <c r="N138" s="1" t="e">
        <f>(Gewinne!$O138-Gewinne!N138)/Gewinne!$O138</f>
        <v>#DIV/0!</v>
      </c>
      <c r="O138" s="1"/>
    </row>
    <row r="139" spans="2:15" x14ac:dyDescent="0.25">
      <c r="B139" t="s">
        <v>149</v>
      </c>
      <c r="C139" s="1">
        <f>(Gewinne!$O139-Gewinne!C139)/Gewinne!$O139</f>
        <v>0.15776952000387615</v>
      </c>
      <c r="D139" s="1">
        <f>(Gewinne!$O139-Gewinne!D139)/Gewinne!$O139</f>
        <v>1</v>
      </c>
      <c r="E139" s="1">
        <f>(Gewinne!$O139-Gewinne!E139)/Gewinne!$O139</f>
        <v>0.13306821986463244</v>
      </c>
      <c r="F139" s="1">
        <f>(Gewinne!$O139-Gewinne!F139)/Gewinne!$O139</f>
        <v>0.37366700065102343</v>
      </c>
      <c r="G139" s="1">
        <f>(Gewinne!$O139-Gewinne!G139)/Gewinne!$O139</f>
        <v>-6.6625071630643282E-2</v>
      </c>
      <c r="H139" s="1">
        <f>(Gewinne!$O139-Gewinne!H139)/Gewinne!$O139</f>
        <v>-3.1901308308064986E-2</v>
      </c>
      <c r="I139" s="1">
        <f>(Gewinne!$O139-Gewinne!I139)/Gewinne!$O139</f>
        <v>-7.7098043159567906E-2</v>
      </c>
      <c r="J139" s="1">
        <f>(Gewinne!$O139-Gewinne!J139)/Gewinne!$O139</f>
        <v>-8.8433940531428834E-2</v>
      </c>
      <c r="K139" s="1">
        <f>(Gewinne!$O139-Gewinne!K139)/Gewinne!$O139</f>
        <v>-2.4631321675056064E-2</v>
      </c>
      <c r="L139" s="1">
        <f>(Gewinne!$O139-Gewinne!L139)/Gewinne!$O139</f>
        <v>-3.8072778445086372E-2</v>
      </c>
      <c r="M139" s="1">
        <f>(Gewinne!$O139-Gewinne!M139)/Gewinne!$O139</f>
        <v>-4.3102522283090243E-2</v>
      </c>
      <c r="N139" s="1">
        <f>(Gewinne!$O139-Gewinne!N139)/Gewinne!$O139</f>
        <v>-4.9554842698350324E-2</v>
      </c>
      <c r="O139" s="1"/>
    </row>
    <row r="140" spans="2:15" x14ac:dyDescent="0.25">
      <c r="B140" t="s">
        <v>150</v>
      </c>
      <c r="C140" s="1">
        <f>(Gewinne!$O140-Gewinne!C140)/Gewinne!$O140</f>
        <v>4.0853851643933695E-2</v>
      </c>
      <c r="D140" s="1">
        <f>(Gewinne!$O140-Gewinne!D140)/Gewinne!$O140</f>
        <v>0.92828251669468653</v>
      </c>
      <c r="E140" s="1">
        <f>(Gewinne!$O140-Gewinne!E140)/Gewinne!$O140</f>
        <v>-2.8481039998600303E-2</v>
      </c>
      <c r="F140" s="1">
        <f>(Gewinne!$O140-Gewinne!F140)/Gewinne!$O140</f>
        <v>0.48171532211900442</v>
      </c>
      <c r="G140" s="1">
        <f>(Gewinne!$O140-Gewinne!G140)/Gewinne!$O140</f>
        <v>-5.9878272103262256E-2</v>
      </c>
      <c r="H140" s="1">
        <f>(Gewinne!$O140-Gewinne!H140)/Gewinne!$O140</f>
        <v>-5.6317546107459746E-2</v>
      </c>
      <c r="I140" s="1">
        <f>(Gewinne!$O140-Gewinne!I140)/Gewinne!$O140</f>
        <v>-6.58534817449902E-2</v>
      </c>
      <c r="J140" s="1">
        <f>(Gewinne!$O140-Gewinne!J140)/Gewinne!$O140</f>
        <v>-7.7042956250817057E-2</v>
      </c>
      <c r="K140" s="1">
        <f>(Gewinne!$O140-Gewinne!K140)/Gewinne!$O140</f>
        <v>1.5151800709442283E-2</v>
      </c>
      <c r="L140" s="1">
        <f>(Gewinne!$O140-Gewinne!L140)/Gewinne!$O140</f>
        <v>-3.5222198876980228E-2</v>
      </c>
      <c r="M140" s="1">
        <f>(Gewinne!$O140-Gewinne!M140)/Gewinne!$O140</f>
        <v>-6.1922818662065483E-2</v>
      </c>
      <c r="N140" s="1">
        <f>(Gewinne!$O140-Gewinne!N140)/Gewinne!$O140</f>
        <v>-3.8143742550121804E-2</v>
      </c>
      <c r="O140" s="1"/>
    </row>
    <row r="141" spans="2:15" x14ac:dyDescent="0.25">
      <c r="B141" t="s">
        <v>151</v>
      </c>
      <c r="C141" s="1">
        <f>(Gewinne!$O141-Gewinne!C141)/Gewinne!$O141</f>
        <v>1</v>
      </c>
      <c r="D141" s="1">
        <f>(Gewinne!$O141-Gewinne!D141)/Gewinne!$O141</f>
        <v>1</v>
      </c>
      <c r="E141" s="1">
        <f>(Gewinne!$O141-Gewinne!E141)/Gewinne!$O141</f>
        <v>5.8036495051201752E-2</v>
      </c>
      <c r="F141" s="1">
        <f>(Gewinne!$O141-Gewinne!F141)/Gewinne!$O141</f>
        <v>0.33044013620970308</v>
      </c>
      <c r="G141" s="1">
        <f>(Gewinne!$O141-Gewinne!G141)/Gewinne!$O141</f>
        <v>-9.7455117276581585E-2</v>
      </c>
      <c r="H141" s="1">
        <f>(Gewinne!$O141-Gewinne!H141)/Gewinne!$O141</f>
        <v>-5.6642299782245907E-2</v>
      </c>
      <c r="I141" s="1">
        <f>(Gewinne!$O141-Gewinne!I141)/Gewinne!$O141</f>
        <v>-0.10415926474444763</v>
      </c>
      <c r="J141" s="1">
        <f>(Gewinne!$O141-Gewinne!J141)/Gewinne!$O141</f>
        <v>-0.11785677432725336</v>
      </c>
      <c r="K141" s="1">
        <f>(Gewinne!$O141-Gewinne!K141)/Gewinne!$O141</f>
        <v>2.6240816247691232E-2</v>
      </c>
      <c r="L141" s="1">
        <f>(Gewinne!$O141-Gewinne!L141)/Gewinne!$O141</f>
        <v>-0.11210228244230214</v>
      </c>
      <c r="M141" s="1">
        <f>(Gewinne!$O141-Gewinne!M141)/Gewinne!$O141</f>
        <v>-8.6895791729425645E-2</v>
      </c>
      <c r="N141" s="1">
        <f>(Gewinne!$O141-Gewinne!N141)/Gewinne!$O141</f>
        <v>-7.8259303525418586E-2</v>
      </c>
      <c r="O141" s="1"/>
    </row>
    <row r="142" spans="2:15" x14ac:dyDescent="0.25">
      <c r="B142" t="s">
        <v>152</v>
      </c>
      <c r="C142" s="1">
        <f>(Gewinne!$O142-Gewinne!C142)/Gewinne!$O142</f>
        <v>1</v>
      </c>
      <c r="D142" s="1">
        <f>(Gewinne!$O142-Gewinne!D142)/Gewinne!$O142</f>
        <v>1</v>
      </c>
      <c r="E142" s="1">
        <f>(Gewinne!$O142-Gewinne!E142)/Gewinne!$O142</f>
        <v>0.10435253917162099</v>
      </c>
      <c r="F142" s="1">
        <f>(Gewinne!$O142-Gewinne!F142)/Gewinne!$O142</f>
        <v>0.53539530756160192</v>
      </c>
      <c r="G142" s="1">
        <f>(Gewinne!$O142-Gewinne!G142)/Gewinne!$O142</f>
        <v>-3.0586517178336228E-2</v>
      </c>
      <c r="H142" s="1">
        <f>(Gewinne!$O142-Gewinne!H142)/Gewinne!$O142</f>
        <v>-2.9278209492549979E-2</v>
      </c>
      <c r="I142" s="1">
        <f>(Gewinne!$O142-Gewinne!I142)/Gewinne!$O142</f>
        <v>-4.675621930874211E-2</v>
      </c>
      <c r="J142" s="1">
        <f>(Gewinne!$O142-Gewinne!J142)/Gewinne!$O142</f>
        <v>-6.8518837972303291E-3</v>
      </c>
      <c r="K142" s="1">
        <f>(Gewinne!$O142-Gewinne!K142)/Gewinne!$O142</f>
        <v>-1.471320131238987E-2</v>
      </c>
      <c r="L142" s="1">
        <f>(Gewinne!$O142-Gewinne!L142)/Gewinne!$O142</f>
        <v>-3.0734710310565988E-2</v>
      </c>
      <c r="M142" s="1">
        <f>(Gewinne!$O142-Gewinne!M142)/Gewinne!$O142</f>
        <v>-4.3843217672710086E-2</v>
      </c>
      <c r="N142" s="1">
        <f>(Gewinne!$O142-Gewinne!N142)/Gewinne!$O142</f>
        <v>-4.3843217672710086E-2</v>
      </c>
      <c r="O142" s="1"/>
    </row>
    <row r="143" spans="2:15" x14ac:dyDescent="0.25">
      <c r="B143" t="s">
        <v>153</v>
      </c>
      <c r="C143" s="1">
        <f>(Gewinne!$O143-Gewinne!C143)/Gewinne!$O143</f>
        <v>1</v>
      </c>
      <c r="D143" s="1">
        <f>(Gewinne!$O143-Gewinne!D143)/Gewinne!$O143</f>
        <v>1</v>
      </c>
      <c r="E143" s="1">
        <f>(Gewinne!$O143-Gewinne!E143)/Gewinne!$O143</f>
        <v>4.0163128345241612E-2</v>
      </c>
      <c r="F143" s="1">
        <f>(Gewinne!$O143-Gewinne!F143)/Gewinne!$O143</f>
        <v>0.53115354420647287</v>
      </c>
      <c r="G143" s="1">
        <f>(Gewinne!$O143-Gewinne!G143)/Gewinne!$O143</f>
        <v>-4.9156419223804593E-2</v>
      </c>
      <c r="H143" s="1">
        <f>(Gewinne!$O143-Gewinne!H143)/Gewinne!$O143</f>
        <v>-5.2812163914264132E-2</v>
      </c>
      <c r="I143" s="1">
        <f>(Gewinne!$O143-Gewinne!I143)/Gewinne!$O143</f>
        <v>-7.5376280574750959E-2</v>
      </c>
      <c r="J143" s="1">
        <f>(Gewinne!$O143-Gewinne!J143)/Gewinne!$O143</f>
        <v>-7.5442623974840098E-2</v>
      </c>
      <c r="K143" s="1">
        <f>(Gewinne!$O143-Gewinne!K143)/Gewinne!$O143</f>
        <v>7.1508712775308278E-3</v>
      </c>
      <c r="L143" s="1">
        <f>(Gewinne!$O143-Gewinne!L143)/Gewinne!$O143</f>
        <v>-8.499108466315286E-2</v>
      </c>
      <c r="M143" s="1">
        <f>(Gewinne!$O143-Gewinne!M143)/Gewinne!$O143</f>
        <v>-6.7113906469325788E-2</v>
      </c>
      <c r="N143" s="1">
        <f>(Gewinne!$O143-Gewinne!N143)/Gewinne!$O143</f>
        <v>-6.1154847071383432E-2</v>
      </c>
      <c r="O143" s="1"/>
    </row>
    <row r="144" spans="2:15" x14ac:dyDescent="0.25">
      <c r="B144" t="s">
        <v>154</v>
      </c>
      <c r="C144" s="1">
        <f>(Gewinne!$O144-Gewinne!C144)/Gewinne!$O144</f>
        <v>1</v>
      </c>
      <c r="D144" s="1">
        <f>(Gewinne!$O144-Gewinne!D144)/Gewinne!$O144</f>
        <v>1</v>
      </c>
      <c r="E144" s="1">
        <f>(Gewinne!$O144-Gewinne!E144)/Gewinne!$O144</f>
        <v>9.9510468412972772E-2</v>
      </c>
      <c r="F144" s="1">
        <f>(Gewinne!$O144-Gewinne!F144)/Gewinne!$O144</f>
        <v>0.49453830856857678</v>
      </c>
      <c r="G144" s="1">
        <f>(Gewinne!$O144-Gewinne!G144)/Gewinne!$O144</f>
        <v>-6.7856710840922693E-2</v>
      </c>
      <c r="H144" s="1">
        <f>(Gewinne!$O144-Gewinne!H144)/Gewinne!$O144</f>
        <v>-6.9889381602816795E-3</v>
      </c>
      <c r="I144" s="1">
        <f>(Gewinne!$O144-Gewinne!I144)/Gewinne!$O144</f>
        <v>-8.1393876702135395E-2</v>
      </c>
      <c r="J144" s="1">
        <f>(Gewinne!$O144-Gewinne!J144)/Gewinne!$O144</f>
        <v>-7.2219920909102162E-2</v>
      </c>
      <c r="K144" s="1">
        <f>(Gewinne!$O144-Gewinne!K144)/Gewinne!$O144</f>
        <v>-1.5192993077504673E-2</v>
      </c>
      <c r="L144" s="1">
        <f>(Gewinne!$O144-Gewinne!L144)/Gewinne!$O144</f>
        <v>-7.8596302601708981E-2</v>
      </c>
      <c r="M144" s="1">
        <f>(Gewinne!$O144-Gewinne!M144)/Gewinne!$O144</f>
        <v>-1.2712545041360152E-2</v>
      </c>
      <c r="N144" s="1">
        <f>(Gewinne!$O144-Gewinne!N144)/Gewinne!$O144</f>
        <v>-4.165477232593439E-2</v>
      </c>
      <c r="O144" s="1"/>
    </row>
    <row r="145" spans="2:15" x14ac:dyDescent="0.25">
      <c r="B145" t="s">
        <v>155</v>
      </c>
      <c r="C145" s="1">
        <f>(Gewinne!$O145-Gewinne!C145)/Gewinne!$O145</f>
        <v>1</v>
      </c>
      <c r="D145" s="1">
        <f>(Gewinne!$O145-Gewinne!D145)/Gewinne!$O145</f>
        <v>1</v>
      </c>
      <c r="E145" s="1">
        <f>(Gewinne!$O145-Gewinne!E145)/Gewinne!$O145</f>
        <v>0.10325497862584028</v>
      </c>
      <c r="F145" s="1">
        <f>(Gewinne!$O145-Gewinne!F145)/Gewinne!$O145</f>
        <v>0.23530391394401728</v>
      </c>
      <c r="G145" s="1">
        <f>(Gewinne!$O145-Gewinne!G145)/Gewinne!$O145</f>
        <v>-7.4857981150284386E-2</v>
      </c>
      <c r="H145" s="1">
        <f>(Gewinne!$O145-Gewinne!H145)/Gewinne!$O145</f>
        <v>-5.1924569288112128E-2</v>
      </c>
      <c r="I145" s="1">
        <f>(Gewinne!$O145-Gewinne!I145)/Gewinne!$O145</f>
        <v>-9.8444228793220179E-2</v>
      </c>
      <c r="J145" s="1">
        <f>(Gewinne!$O145-Gewinne!J145)/Gewinne!$O145</f>
        <v>-8.1014115074872786E-2</v>
      </c>
      <c r="K145" s="1">
        <f>(Gewinne!$O145-Gewinne!K145)/Gewinne!$O145</f>
        <v>-7.6885190154174004E-3</v>
      </c>
      <c r="L145" s="1">
        <f>(Gewinne!$O145-Gewinne!L145)/Gewinne!$O145</f>
        <v>-6.424971576788048E-2</v>
      </c>
      <c r="M145" s="1">
        <f>(Gewinne!$O145-Gewinne!M145)/Gewinne!$O145</f>
        <v>-4.2154708423729349E-2</v>
      </c>
      <c r="N145" s="1">
        <f>(Gewinne!$O145-Gewinne!N145)/Gewinne!$O145</f>
        <v>-5.7410813162812532E-2</v>
      </c>
      <c r="O145" s="1"/>
    </row>
    <row r="146" spans="2:15" x14ac:dyDescent="0.25">
      <c r="B146" t="s">
        <v>156</v>
      </c>
      <c r="C146" s="1">
        <f>(Gewinne!$O146-Gewinne!C146)/Gewinne!$O146</f>
        <v>1</v>
      </c>
      <c r="D146" s="1">
        <f>(Gewinne!$O146-Gewinne!D146)/Gewinne!$O146</f>
        <v>1</v>
      </c>
      <c r="E146" s="1">
        <f>(Gewinne!$O146-Gewinne!E146)/Gewinne!$O146</f>
        <v>0.19082688639916848</v>
      </c>
      <c r="F146" s="1">
        <f>(Gewinne!$O146-Gewinne!F146)/Gewinne!$O146</f>
        <v>0.35364270327021219</v>
      </c>
      <c r="G146" s="1">
        <f>(Gewinne!$O146-Gewinne!G146)/Gewinne!$O146</f>
        <v>-2.6709015778512875E-2</v>
      </c>
      <c r="H146" s="1">
        <f>(Gewinne!$O146-Gewinne!H146)/Gewinne!$O146</f>
        <v>6.4136393655105156E-3</v>
      </c>
      <c r="I146" s="1">
        <f>(Gewinne!$O146-Gewinne!I146)/Gewinne!$O146</f>
        <v>-3.967917923395551E-2</v>
      </c>
      <c r="J146" s="1">
        <f>(Gewinne!$O146-Gewinne!J146)/Gewinne!$O146</f>
        <v>-3.7689085871148165E-2</v>
      </c>
      <c r="K146" s="1">
        <f>(Gewinne!$O146-Gewinne!K146)/Gewinne!$O146</f>
        <v>2.4972324235408065E-2</v>
      </c>
      <c r="L146" s="1">
        <f>(Gewinne!$O146-Gewinne!L146)/Gewinne!$O146</f>
        <v>-1.1236299715177825E-2</v>
      </c>
      <c r="M146" s="1">
        <f>(Gewinne!$O146-Gewinne!M146)/Gewinne!$O146</f>
        <v>7.7362786733090319E-3</v>
      </c>
      <c r="N146" s="1">
        <f>(Gewinne!$O146-Gewinne!N146)/Gewinne!$O146</f>
        <v>-1.6127901316124741E-2</v>
      </c>
      <c r="O146" s="1"/>
    </row>
    <row r="147" spans="2:15" x14ac:dyDescent="0.25">
      <c r="B147" t="s">
        <v>157</v>
      </c>
      <c r="C147" s="1">
        <f>(Gewinne!$O147-Gewinne!C147)/Gewinne!$O147</f>
        <v>1</v>
      </c>
      <c r="D147" s="1">
        <f>(Gewinne!$O147-Gewinne!D147)/Gewinne!$O147</f>
        <v>1</v>
      </c>
      <c r="E147" s="1">
        <f>(Gewinne!$O147-Gewinne!E147)/Gewinne!$O147</f>
        <v>-3.7530196217261508E-3</v>
      </c>
      <c r="F147" s="1">
        <f>(Gewinne!$O147-Gewinne!F147)/Gewinne!$O147</f>
        <v>1</v>
      </c>
      <c r="G147" s="1">
        <f>(Gewinne!$O147-Gewinne!G147)/Gewinne!$O147</f>
        <v>-6.9601920887049556E-2</v>
      </c>
      <c r="H147" s="1">
        <f>(Gewinne!$O147-Gewinne!H147)/Gewinne!$O147</f>
        <v>-4.5312551328809555E-2</v>
      </c>
      <c r="I147" s="1">
        <f>(Gewinne!$O147-Gewinne!I147)/Gewinne!$O147</f>
        <v>-0.10416756218146803</v>
      </c>
      <c r="J147" s="1">
        <f>(Gewinne!$O147-Gewinne!J147)/Gewinne!$O147</f>
        <v>-0.11352342562649785</v>
      </c>
      <c r="K147" s="1">
        <f>(Gewinne!$O147-Gewinne!K147)/Gewinne!$O147</f>
        <v>-5.6214326646676898E-3</v>
      </c>
      <c r="L147" s="1">
        <f>(Gewinne!$O147-Gewinne!L147)/Gewinne!$O147</f>
        <v>-9.4839295197082465E-2</v>
      </c>
      <c r="M147" s="1">
        <f>(Gewinne!$O147-Gewinne!M147)/Gewinne!$O147</f>
        <v>-8.9220257837935718E-2</v>
      </c>
      <c r="N147" s="1">
        <f>(Gewinne!$O147-Gewinne!N147)/Gewinne!$O147</f>
        <v>-6.1207860424134758E-2</v>
      </c>
      <c r="O147" s="1"/>
    </row>
    <row r="148" spans="2:15" x14ac:dyDescent="0.25">
      <c r="B148" t="s">
        <v>158</v>
      </c>
      <c r="C148" s="1">
        <f>(Gewinne!$O148-Gewinne!C148)/Gewinne!$O148</f>
        <v>1</v>
      </c>
      <c r="D148" s="1">
        <f>(Gewinne!$O148-Gewinne!D148)/Gewinne!$O148</f>
        <v>1</v>
      </c>
      <c r="E148" s="1">
        <f>(Gewinne!$O148-Gewinne!E148)/Gewinne!$O148</f>
        <v>9.6723828137499579E-2</v>
      </c>
      <c r="F148" s="1">
        <f>(Gewinne!$O148-Gewinne!F148)/Gewinne!$O148</f>
        <v>0.42241218623202442</v>
      </c>
      <c r="G148" s="1">
        <f>(Gewinne!$O148-Gewinne!G148)/Gewinne!$O148</f>
        <v>-0.11188913166330716</v>
      </c>
      <c r="H148" s="1">
        <f>(Gewinne!$O148-Gewinne!H148)/Gewinne!$O148</f>
        <v>-6.4071747188752859E-2</v>
      </c>
      <c r="I148" s="1">
        <f>(Gewinne!$O148-Gewinne!I148)/Gewinne!$O148</f>
        <v>-0.13477294704047754</v>
      </c>
      <c r="J148" s="1">
        <f>(Gewinne!$O148-Gewinne!J148)/Gewinne!$O148</f>
        <v>-8.8110977039787527E-2</v>
      </c>
      <c r="K148" s="1">
        <f>(Gewinne!$O148-Gewinne!K148)/Gewinne!$O148</f>
        <v>-7.987395584518725E-2</v>
      </c>
      <c r="L148" s="1">
        <f>(Gewinne!$O148-Gewinne!L148)/Gewinne!$O148</f>
        <v>-8.6579193566162449E-2</v>
      </c>
      <c r="M148" s="1">
        <f>(Gewinne!$O148-Gewinne!M148)/Gewinne!$O148</f>
        <v>-0.1190903537671297</v>
      </c>
      <c r="N148" s="1">
        <f>(Gewinne!$O148-Gewinne!N148)/Gewinne!$O148</f>
        <v>-6.3855041382969893E-2</v>
      </c>
      <c r="O148" s="1"/>
    </row>
    <row r="149" spans="2:15" x14ac:dyDescent="0.25">
      <c r="B149" t="s">
        <v>159</v>
      </c>
      <c r="C149" s="1" t="e">
        <f>(Gewinne!$O149-Gewinne!C149)/Gewinne!$O149</f>
        <v>#DIV/0!</v>
      </c>
      <c r="D149" s="1" t="e">
        <f>(Gewinne!$O149-Gewinne!D149)/Gewinne!$O149</f>
        <v>#DIV/0!</v>
      </c>
      <c r="E149" s="1" t="e">
        <f>(Gewinne!$O149-Gewinne!E149)/Gewinne!$O149</f>
        <v>#DIV/0!</v>
      </c>
      <c r="F149" s="1" t="e">
        <f>(Gewinne!$O149-Gewinne!F149)/Gewinne!$O149</f>
        <v>#DIV/0!</v>
      </c>
      <c r="G149" s="1" t="e">
        <f>(Gewinne!$O149-Gewinne!G149)/Gewinne!$O149</f>
        <v>#DIV/0!</v>
      </c>
      <c r="H149" s="1" t="e">
        <f>(Gewinne!$O149-Gewinne!H149)/Gewinne!$O149</f>
        <v>#DIV/0!</v>
      </c>
      <c r="I149" s="1" t="e">
        <f>(Gewinne!$O149-Gewinne!I149)/Gewinne!$O149</f>
        <v>#DIV/0!</v>
      </c>
      <c r="J149" s="1" t="e">
        <f>(Gewinne!$O149-Gewinne!J149)/Gewinne!$O149</f>
        <v>#DIV/0!</v>
      </c>
      <c r="K149" s="1" t="e">
        <f>(Gewinne!$O149-Gewinne!K149)/Gewinne!$O149</f>
        <v>#DIV/0!</v>
      </c>
      <c r="L149" s="1" t="e">
        <f>(Gewinne!$O149-Gewinne!L149)/Gewinne!$O149</f>
        <v>#DIV/0!</v>
      </c>
      <c r="M149" s="1" t="e">
        <f>(Gewinne!$O149-Gewinne!M149)/Gewinne!$O149</f>
        <v>#DIV/0!</v>
      </c>
      <c r="N149" s="1" t="e">
        <f>(Gewinne!$O149-Gewinne!N149)/Gewinne!$O149</f>
        <v>#DIV/0!</v>
      </c>
      <c r="O149" s="1"/>
    </row>
    <row r="150" spans="2:15" x14ac:dyDescent="0.25">
      <c r="B150" t="s">
        <v>160</v>
      </c>
      <c r="C150" s="1" t="e">
        <f>(Gewinne!$O150-Gewinne!C150)/Gewinne!$O150</f>
        <v>#DIV/0!</v>
      </c>
      <c r="D150" s="1" t="e">
        <f>(Gewinne!$O150-Gewinne!D150)/Gewinne!$O150</f>
        <v>#DIV/0!</v>
      </c>
      <c r="E150" s="1" t="e">
        <f>(Gewinne!$O150-Gewinne!E150)/Gewinne!$O150</f>
        <v>#DIV/0!</v>
      </c>
      <c r="F150" s="1" t="e">
        <f>(Gewinne!$O150-Gewinne!F150)/Gewinne!$O150</f>
        <v>#DIV/0!</v>
      </c>
      <c r="G150" s="1" t="e">
        <f>(Gewinne!$O150-Gewinne!G150)/Gewinne!$O150</f>
        <v>#DIV/0!</v>
      </c>
      <c r="H150" s="1" t="e">
        <f>(Gewinne!$O150-Gewinne!H150)/Gewinne!$O150</f>
        <v>#DIV/0!</v>
      </c>
      <c r="I150" s="1" t="e">
        <f>(Gewinne!$O150-Gewinne!I150)/Gewinne!$O150</f>
        <v>#DIV/0!</v>
      </c>
      <c r="J150" s="1" t="e">
        <f>(Gewinne!$O150-Gewinne!J150)/Gewinne!$O150</f>
        <v>#DIV/0!</v>
      </c>
      <c r="K150" s="1" t="e">
        <f>(Gewinne!$O150-Gewinne!K150)/Gewinne!$O150</f>
        <v>#DIV/0!</v>
      </c>
      <c r="L150" s="1" t="e">
        <f>(Gewinne!$O150-Gewinne!L150)/Gewinne!$O150</f>
        <v>#DIV/0!</v>
      </c>
      <c r="M150" s="1" t="e">
        <f>(Gewinne!$O150-Gewinne!M150)/Gewinne!$O150</f>
        <v>#DIV/0!</v>
      </c>
      <c r="N150" s="1" t="e">
        <f>(Gewinne!$O150-Gewinne!N150)/Gewinne!$O150</f>
        <v>#DIV/0!</v>
      </c>
      <c r="O150" s="1"/>
    </row>
    <row r="151" spans="2:15" x14ac:dyDescent="0.25">
      <c r="B151" t="s">
        <v>161</v>
      </c>
      <c r="C151" s="1" t="e">
        <f>(Gewinne!$O151-Gewinne!C151)/Gewinne!$O151</f>
        <v>#DIV/0!</v>
      </c>
      <c r="D151" s="1" t="e">
        <f>(Gewinne!$O151-Gewinne!D151)/Gewinne!$O151</f>
        <v>#DIV/0!</v>
      </c>
      <c r="E151" s="1" t="e">
        <f>(Gewinne!$O151-Gewinne!E151)/Gewinne!$O151</f>
        <v>#DIV/0!</v>
      </c>
      <c r="F151" s="1" t="e">
        <f>(Gewinne!$O151-Gewinne!F151)/Gewinne!$O151</f>
        <v>#DIV/0!</v>
      </c>
      <c r="G151" s="1" t="e">
        <f>(Gewinne!$O151-Gewinne!G151)/Gewinne!$O151</f>
        <v>#DIV/0!</v>
      </c>
      <c r="H151" s="1" t="e">
        <f>(Gewinne!$O151-Gewinne!H151)/Gewinne!$O151</f>
        <v>#DIV/0!</v>
      </c>
      <c r="I151" s="1" t="e">
        <f>(Gewinne!$O151-Gewinne!I151)/Gewinne!$O151</f>
        <v>#DIV/0!</v>
      </c>
      <c r="J151" s="1" t="e">
        <f>(Gewinne!$O151-Gewinne!J151)/Gewinne!$O151</f>
        <v>#DIV/0!</v>
      </c>
      <c r="K151" s="1" t="e">
        <f>(Gewinne!$O151-Gewinne!K151)/Gewinne!$O151</f>
        <v>#DIV/0!</v>
      </c>
      <c r="L151" s="1" t="e">
        <f>(Gewinne!$O151-Gewinne!L151)/Gewinne!$O151</f>
        <v>#DIV/0!</v>
      </c>
      <c r="M151" s="1" t="e">
        <f>(Gewinne!$O151-Gewinne!M151)/Gewinne!$O151</f>
        <v>#DIV/0!</v>
      </c>
      <c r="N151" s="1" t="e">
        <f>(Gewinne!$O151-Gewinne!N151)/Gewinne!$O151</f>
        <v>#DIV/0!</v>
      </c>
      <c r="O151" s="1"/>
    </row>
    <row r="152" spans="2:15" x14ac:dyDescent="0.25">
      <c r="B152" t="s">
        <v>162</v>
      </c>
      <c r="C152" s="1" t="e">
        <f>(Gewinne!$O152-Gewinne!C152)/Gewinne!$O152</f>
        <v>#DIV/0!</v>
      </c>
      <c r="D152" s="1" t="e">
        <f>(Gewinne!$O152-Gewinne!D152)/Gewinne!$O152</f>
        <v>#DIV/0!</v>
      </c>
      <c r="E152" s="1" t="e">
        <f>(Gewinne!$O152-Gewinne!E152)/Gewinne!$O152</f>
        <v>#DIV/0!</v>
      </c>
      <c r="F152" s="1" t="e">
        <f>(Gewinne!$O152-Gewinne!F152)/Gewinne!$O152</f>
        <v>#DIV/0!</v>
      </c>
      <c r="G152" s="1" t="e">
        <f>(Gewinne!$O152-Gewinne!G152)/Gewinne!$O152</f>
        <v>#DIV/0!</v>
      </c>
      <c r="H152" s="1" t="e">
        <f>(Gewinne!$O152-Gewinne!H152)/Gewinne!$O152</f>
        <v>#DIV/0!</v>
      </c>
      <c r="I152" s="1" t="e">
        <f>(Gewinne!$O152-Gewinne!I152)/Gewinne!$O152</f>
        <v>#DIV/0!</v>
      </c>
      <c r="J152" s="1" t="e">
        <f>(Gewinne!$O152-Gewinne!J152)/Gewinne!$O152</f>
        <v>#DIV/0!</v>
      </c>
      <c r="K152" s="1" t="e">
        <f>(Gewinne!$O152-Gewinne!K152)/Gewinne!$O152</f>
        <v>#DIV/0!</v>
      </c>
      <c r="L152" s="1" t="e">
        <f>(Gewinne!$O152-Gewinne!L152)/Gewinne!$O152</f>
        <v>#DIV/0!</v>
      </c>
      <c r="M152" s="1" t="e">
        <f>(Gewinne!$O152-Gewinne!M152)/Gewinne!$O152</f>
        <v>#DIV/0!</v>
      </c>
      <c r="N152" s="1" t="e">
        <f>(Gewinne!$O152-Gewinne!N152)/Gewinne!$O152</f>
        <v>#DIV/0!</v>
      </c>
      <c r="O152" s="1"/>
    </row>
    <row r="153" spans="2:15" x14ac:dyDescent="0.25">
      <c r="B153" t="s">
        <v>163</v>
      </c>
      <c r="C153" s="1" t="e">
        <f>(Gewinne!$O153-Gewinne!C153)/Gewinne!$O153</f>
        <v>#DIV/0!</v>
      </c>
      <c r="D153" s="1" t="e">
        <f>(Gewinne!$O153-Gewinne!D153)/Gewinne!$O153</f>
        <v>#DIV/0!</v>
      </c>
      <c r="E153" s="1" t="e">
        <f>(Gewinne!$O153-Gewinne!E153)/Gewinne!$O153</f>
        <v>#DIV/0!</v>
      </c>
      <c r="F153" s="1" t="e">
        <f>(Gewinne!$O153-Gewinne!F153)/Gewinne!$O153</f>
        <v>#DIV/0!</v>
      </c>
      <c r="G153" s="1" t="e">
        <f>(Gewinne!$O153-Gewinne!G153)/Gewinne!$O153</f>
        <v>#DIV/0!</v>
      </c>
      <c r="H153" s="1" t="e">
        <f>(Gewinne!$O153-Gewinne!H153)/Gewinne!$O153</f>
        <v>#DIV/0!</v>
      </c>
      <c r="I153" s="1" t="e">
        <f>(Gewinne!$O153-Gewinne!I153)/Gewinne!$O153</f>
        <v>#DIV/0!</v>
      </c>
      <c r="J153" s="1" t="e">
        <f>(Gewinne!$O153-Gewinne!J153)/Gewinne!$O153</f>
        <v>#DIV/0!</v>
      </c>
      <c r="K153" s="1" t="e">
        <f>(Gewinne!$O153-Gewinne!K153)/Gewinne!$O153</f>
        <v>#DIV/0!</v>
      </c>
      <c r="L153" s="1" t="e">
        <f>(Gewinne!$O153-Gewinne!L153)/Gewinne!$O153</f>
        <v>#DIV/0!</v>
      </c>
      <c r="M153" s="1" t="e">
        <f>(Gewinne!$O153-Gewinne!M153)/Gewinne!$O153</f>
        <v>#DIV/0!</v>
      </c>
      <c r="N153" s="1" t="e">
        <f>(Gewinne!$O153-Gewinne!N153)/Gewinne!$O153</f>
        <v>#DIV/0!</v>
      </c>
      <c r="O153" s="1"/>
    </row>
    <row r="154" spans="2:15" x14ac:dyDescent="0.25">
      <c r="B154" t="s">
        <v>164</v>
      </c>
      <c r="C154" s="1" t="e">
        <f>(Gewinne!$O154-Gewinne!C154)/Gewinne!$O154</f>
        <v>#DIV/0!</v>
      </c>
      <c r="D154" s="1" t="e">
        <f>(Gewinne!$O154-Gewinne!D154)/Gewinne!$O154</f>
        <v>#DIV/0!</v>
      </c>
      <c r="E154" s="1" t="e">
        <f>(Gewinne!$O154-Gewinne!E154)/Gewinne!$O154</f>
        <v>#DIV/0!</v>
      </c>
      <c r="F154" s="1" t="e">
        <f>(Gewinne!$O154-Gewinne!F154)/Gewinne!$O154</f>
        <v>#DIV/0!</v>
      </c>
      <c r="G154" s="1" t="e">
        <f>(Gewinne!$O154-Gewinne!G154)/Gewinne!$O154</f>
        <v>#DIV/0!</v>
      </c>
      <c r="H154" s="1" t="e">
        <f>(Gewinne!$O154-Gewinne!H154)/Gewinne!$O154</f>
        <v>#DIV/0!</v>
      </c>
      <c r="I154" s="1" t="e">
        <f>(Gewinne!$O154-Gewinne!I154)/Gewinne!$O154</f>
        <v>#DIV/0!</v>
      </c>
      <c r="J154" s="1" t="e">
        <f>(Gewinne!$O154-Gewinne!J154)/Gewinne!$O154</f>
        <v>#DIV/0!</v>
      </c>
      <c r="K154" s="1" t="e">
        <f>(Gewinne!$O154-Gewinne!K154)/Gewinne!$O154</f>
        <v>#DIV/0!</v>
      </c>
      <c r="L154" s="1" t="e">
        <f>(Gewinne!$O154-Gewinne!L154)/Gewinne!$O154</f>
        <v>#DIV/0!</v>
      </c>
      <c r="M154" s="1" t="e">
        <f>(Gewinne!$O154-Gewinne!M154)/Gewinne!$O154</f>
        <v>#DIV/0!</v>
      </c>
      <c r="N154" s="1" t="e">
        <f>(Gewinne!$O154-Gewinne!N154)/Gewinne!$O154</f>
        <v>#DIV/0!</v>
      </c>
      <c r="O154" s="1"/>
    </row>
    <row r="155" spans="2:15" x14ac:dyDescent="0.25">
      <c r="B155" t="s">
        <v>165</v>
      </c>
      <c r="C155" s="1" t="e">
        <f>(Gewinne!$O155-Gewinne!C155)/Gewinne!$O155</f>
        <v>#DIV/0!</v>
      </c>
      <c r="D155" s="1" t="e">
        <f>(Gewinne!$O155-Gewinne!D155)/Gewinne!$O155</f>
        <v>#DIV/0!</v>
      </c>
      <c r="E155" s="1" t="e">
        <f>(Gewinne!$O155-Gewinne!E155)/Gewinne!$O155</f>
        <v>#DIV/0!</v>
      </c>
      <c r="F155" s="1" t="e">
        <f>(Gewinne!$O155-Gewinne!F155)/Gewinne!$O155</f>
        <v>#DIV/0!</v>
      </c>
      <c r="G155" s="1" t="e">
        <f>(Gewinne!$O155-Gewinne!G155)/Gewinne!$O155</f>
        <v>#DIV/0!</v>
      </c>
      <c r="H155" s="1" t="e">
        <f>(Gewinne!$O155-Gewinne!H155)/Gewinne!$O155</f>
        <v>#DIV/0!</v>
      </c>
      <c r="I155" s="1" t="e">
        <f>(Gewinne!$O155-Gewinne!I155)/Gewinne!$O155</f>
        <v>#DIV/0!</v>
      </c>
      <c r="J155" s="1" t="e">
        <f>(Gewinne!$O155-Gewinne!J155)/Gewinne!$O155</f>
        <v>#DIV/0!</v>
      </c>
      <c r="K155" s="1" t="e">
        <f>(Gewinne!$O155-Gewinne!K155)/Gewinne!$O155</f>
        <v>#DIV/0!</v>
      </c>
      <c r="L155" s="1" t="e">
        <f>(Gewinne!$O155-Gewinne!L155)/Gewinne!$O155</f>
        <v>#DIV/0!</v>
      </c>
      <c r="M155" s="1" t="e">
        <f>(Gewinne!$O155-Gewinne!M155)/Gewinne!$O155</f>
        <v>#DIV/0!</v>
      </c>
      <c r="N155" s="1" t="e">
        <f>(Gewinne!$O155-Gewinne!N155)/Gewinne!$O155</f>
        <v>#DIV/0!</v>
      </c>
      <c r="O155" s="1"/>
    </row>
    <row r="156" spans="2:15" x14ac:dyDescent="0.25">
      <c r="B156" t="s">
        <v>166</v>
      </c>
      <c r="C156" s="1" t="e">
        <f>(Gewinne!$O156-Gewinne!C156)/Gewinne!$O156</f>
        <v>#DIV/0!</v>
      </c>
      <c r="D156" s="1" t="e">
        <f>(Gewinne!$O156-Gewinne!D156)/Gewinne!$O156</f>
        <v>#DIV/0!</v>
      </c>
      <c r="E156" s="1" t="e">
        <f>(Gewinne!$O156-Gewinne!E156)/Gewinne!$O156</f>
        <v>#DIV/0!</v>
      </c>
      <c r="F156" s="1" t="e">
        <f>(Gewinne!$O156-Gewinne!F156)/Gewinne!$O156</f>
        <v>#DIV/0!</v>
      </c>
      <c r="G156" s="1" t="e">
        <f>(Gewinne!$O156-Gewinne!G156)/Gewinne!$O156</f>
        <v>#DIV/0!</v>
      </c>
      <c r="H156" s="1" t="e">
        <f>(Gewinne!$O156-Gewinne!H156)/Gewinne!$O156</f>
        <v>#DIV/0!</v>
      </c>
      <c r="I156" s="1" t="e">
        <f>(Gewinne!$O156-Gewinne!I156)/Gewinne!$O156</f>
        <v>#DIV/0!</v>
      </c>
      <c r="J156" s="1" t="e">
        <f>(Gewinne!$O156-Gewinne!J156)/Gewinne!$O156</f>
        <v>#DIV/0!</v>
      </c>
      <c r="K156" s="1" t="e">
        <f>(Gewinne!$O156-Gewinne!K156)/Gewinne!$O156</f>
        <v>#DIV/0!</v>
      </c>
      <c r="L156" s="1" t="e">
        <f>(Gewinne!$O156-Gewinne!L156)/Gewinne!$O156</f>
        <v>#DIV/0!</v>
      </c>
      <c r="M156" s="1" t="e">
        <f>(Gewinne!$O156-Gewinne!M156)/Gewinne!$O156</f>
        <v>#DIV/0!</v>
      </c>
      <c r="N156" s="1" t="e">
        <f>(Gewinne!$O156-Gewinne!N156)/Gewinne!$O156</f>
        <v>#DIV/0!</v>
      </c>
      <c r="O156" s="1"/>
    </row>
    <row r="157" spans="2:15" x14ac:dyDescent="0.25">
      <c r="B157" t="s">
        <v>167</v>
      </c>
      <c r="C157" s="1" t="e">
        <f>(Gewinne!$O157-Gewinne!C157)/Gewinne!$O157</f>
        <v>#DIV/0!</v>
      </c>
      <c r="D157" s="1" t="e">
        <f>(Gewinne!$O157-Gewinne!D157)/Gewinne!$O157</f>
        <v>#DIV/0!</v>
      </c>
      <c r="E157" s="1" t="e">
        <f>(Gewinne!$O157-Gewinne!E157)/Gewinne!$O157</f>
        <v>#DIV/0!</v>
      </c>
      <c r="F157" s="1" t="e">
        <f>(Gewinne!$O157-Gewinne!F157)/Gewinne!$O157</f>
        <v>#DIV/0!</v>
      </c>
      <c r="G157" s="1" t="e">
        <f>(Gewinne!$O157-Gewinne!G157)/Gewinne!$O157</f>
        <v>#DIV/0!</v>
      </c>
      <c r="H157" s="1" t="e">
        <f>(Gewinne!$O157-Gewinne!H157)/Gewinne!$O157</f>
        <v>#DIV/0!</v>
      </c>
      <c r="I157" s="1" t="e">
        <f>(Gewinne!$O157-Gewinne!I157)/Gewinne!$O157</f>
        <v>#DIV/0!</v>
      </c>
      <c r="J157" s="1" t="e">
        <f>(Gewinne!$O157-Gewinne!J157)/Gewinne!$O157</f>
        <v>#DIV/0!</v>
      </c>
      <c r="K157" s="1" t="e">
        <f>(Gewinne!$O157-Gewinne!K157)/Gewinne!$O157</f>
        <v>#DIV/0!</v>
      </c>
      <c r="L157" s="1" t="e">
        <f>(Gewinne!$O157-Gewinne!L157)/Gewinne!$O157</f>
        <v>#DIV/0!</v>
      </c>
      <c r="M157" s="1" t="e">
        <f>(Gewinne!$O157-Gewinne!M157)/Gewinne!$O157</f>
        <v>#DIV/0!</v>
      </c>
      <c r="N157" s="1" t="e">
        <f>(Gewinne!$O157-Gewinne!N157)/Gewinne!$O157</f>
        <v>#DIV/0!</v>
      </c>
      <c r="O157" s="1"/>
    </row>
    <row r="158" spans="2:15" x14ac:dyDescent="0.25">
      <c r="B158" t="s">
        <v>168</v>
      </c>
      <c r="C158" s="1">
        <f>(Gewinne!$O158-Gewinne!C158)/Gewinne!$O158</f>
        <v>-0.51252080927547794</v>
      </c>
      <c r="D158" s="1">
        <f>(Gewinne!$O158-Gewinne!D158)/Gewinne!$O158</f>
        <v>1</v>
      </c>
      <c r="E158" s="1">
        <f>(Gewinne!$O158-Gewinne!E158)/Gewinne!$O158</f>
        <v>-0.2694098221445036</v>
      </c>
      <c r="F158" s="1">
        <f>(Gewinne!$O158-Gewinne!F158)/Gewinne!$O158</f>
        <v>0.47653208473754877</v>
      </c>
      <c r="G158" s="1">
        <f>(Gewinne!$O158-Gewinne!G158)/Gewinne!$O158</f>
        <v>-0.60425313061388941</v>
      </c>
      <c r="H158" s="1">
        <f>(Gewinne!$O158-Gewinne!H158)/Gewinne!$O158</f>
        <v>-0.49754620819260464</v>
      </c>
      <c r="I158" s="1">
        <f>(Gewinne!$O158-Gewinne!I158)/Gewinne!$O158</f>
        <v>-0.5530388426367373</v>
      </c>
      <c r="J158" s="1">
        <f>(Gewinne!$O158-Gewinne!J158)/Gewinne!$O158</f>
        <v>-0.57153638745144819</v>
      </c>
      <c r="K158" s="1">
        <f>(Gewinne!$O158-Gewinne!K158)/Gewinne!$O158</f>
        <v>0.11023034708928743</v>
      </c>
      <c r="L158" s="1">
        <f>(Gewinne!$O158-Gewinne!L158)/Gewinne!$O158</f>
        <v>-0.57770223572301849</v>
      </c>
      <c r="M158" s="1">
        <f>(Gewinne!$O158-Gewinne!M158)/Gewinne!$O158</f>
        <v>-0.46671696683475311</v>
      </c>
      <c r="N158" s="1">
        <f>(Gewinne!$O158-Gewinne!N158)/Gewinne!$O158</f>
        <v>-0.57958973752760823</v>
      </c>
      <c r="O158" s="1"/>
    </row>
    <row r="159" spans="2:15" x14ac:dyDescent="0.25">
      <c r="B159" t="s">
        <v>169</v>
      </c>
      <c r="C159" s="1">
        <f>(Gewinne!$O159-Gewinne!C159)/Gewinne!$O159</f>
        <v>-0.51428474805847457</v>
      </c>
      <c r="D159" s="1">
        <f>(Gewinne!$O159-Gewinne!D159)/Gewinne!$O159</f>
        <v>0.80506618914921169</v>
      </c>
      <c r="E159" s="1">
        <f>(Gewinne!$O159-Gewinne!E159)/Gewinne!$O159</f>
        <v>-0.2235971274385592</v>
      </c>
      <c r="F159" s="1">
        <f>(Gewinne!$O159-Gewinne!F159)/Gewinne!$O159</f>
        <v>-0.13061610293457154</v>
      </c>
      <c r="G159" s="1">
        <f>(Gewinne!$O159-Gewinne!G159)/Gewinne!$O159</f>
        <v>-0.47653337180783029</v>
      </c>
      <c r="H159" s="1">
        <f>(Gewinne!$O159-Gewinne!H159)/Gewinne!$O159</f>
        <v>-0.42368102223813187</v>
      </c>
      <c r="I159" s="1">
        <f>(Gewinne!$O159-Gewinne!I159)/Gewinne!$O159</f>
        <v>-0.5029595465926795</v>
      </c>
      <c r="J159" s="1">
        <f>(Gewinne!$O159-Gewinne!J159)/Gewinne!$O159</f>
        <v>-0.48030853963423731</v>
      </c>
      <c r="K159" s="1">
        <f>(Gewinne!$O159-Gewinne!K159)/Gewinne!$O159</f>
        <v>0</v>
      </c>
      <c r="L159" s="1">
        <f>(Gewinne!$O159-Gewinne!L159)/Gewinne!$O159</f>
        <v>-0.49454698525932111</v>
      </c>
      <c r="M159" s="1">
        <f>(Gewinne!$O159-Gewinne!M159)/Gewinne!$O159</f>
        <v>-0.45611949155163878</v>
      </c>
      <c r="N159" s="1">
        <f>(Gewinne!$O159-Gewinne!N159)/Gewinne!$O159</f>
        <v>-0.46366982720445282</v>
      </c>
      <c r="O159" s="1"/>
    </row>
    <row r="160" spans="2:15" x14ac:dyDescent="0.25">
      <c r="B160" t="s">
        <v>170</v>
      </c>
      <c r="C160" s="1">
        <f>(Gewinne!$O160-Gewinne!C160)/Gewinne!$O160</f>
        <v>-0.59987363636363633</v>
      </c>
      <c r="D160" s="1">
        <f>(Gewinne!$O160-Gewinne!D160)/Gewinne!$O160</f>
        <v>1</v>
      </c>
      <c r="E160" s="1">
        <f>(Gewinne!$O160-Gewinne!E160)/Gewinne!$O160</f>
        <v>-0.52159409999999995</v>
      </c>
      <c r="F160" s="1">
        <f>(Gewinne!$O160-Gewinne!F160)/Gewinne!$O160</f>
        <v>-0.56957938181818168</v>
      </c>
      <c r="G160" s="1">
        <f>(Gewinne!$O160-Gewinne!G160)/Gewinne!$O160</f>
        <v>-0.63131449999999989</v>
      </c>
      <c r="H160" s="1">
        <f>(Gewinne!$O160-Gewinne!H160)/Gewinne!$O160</f>
        <v>-0.57222359090909081</v>
      </c>
      <c r="I160" s="1">
        <f>(Gewinne!$O160-Gewinne!I160)/Gewinne!$O160</f>
        <v>-0.64532859090909089</v>
      </c>
      <c r="J160" s="1">
        <f>(Gewinne!$O160-Gewinne!J160)/Gewinne!$O160</f>
        <v>-0.60441949999999989</v>
      </c>
      <c r="K160" s="1">
        <f>(Gewinne!$O160-Gewinne!K160)/Gewinne!$O160</f>
        <v>7.7272727272727271E-2</v>
      </c>
      <c r="L160" s="1">
        <f>(Gewinne!$O160-Gewinne!L160)/Gewinne!$O160</f>
        <v>-0.64949631818181808</v>
      </c>
      <c r="M160" s="1">
        <f>(Gewinne!$O160-Gewinne!M160)/Gewinne!$O160</f>
        <v>-0.63131449999999989</v>
      </c>
      <c r="N160" s="1">
        <f>(Gewinne!$O160-Gewinne!N160)/Gewinne!$O160</f>
        <v>-0.60404177272727266</v>
      </c>
      <c r="O160" s="1"/>
    </row>
    <row r="161" spans="2:15" x14ac:dyDescent="0.25">
      <c r="B161" t="s">
        <v>171</v>
      </c>
      <c r="C161" s="1">
        <f>(Gewinne!$O161-Gewinne!C161)/Gewinne!$O161</f>
        <v>-2.6714285714285713</v>
      </c>
      <c r="D161" s="1">
        <f>(Gewinne!$O161-Gewinne!D161)/Gewinne!$O161</f>
        <v>1</v>
      </c>
      <c r="E161" s="1">
        <f>(Gewinne!$O161-Gewinne!E161)/Gewinne!$O161</f>
        <v>-2.0531747142857144</v>
      </c>
      <c r="F161" s="1">
        <f>(Gewinne!$O161-Gewinne!F161)/Gewinne!$O161</f>
        <v>-1.7642857142857142</v>
      </c>
      <c r="G161" s="1">
        <f>(Gewinne!$O161-Gewinne!G161)/Gewinne!$O161</f>
        <v>-2.5960318571428571</v>
      </c>
      <c r="H161" s="1">
        <f>(Gewinne!$O161-Gewinne!H161)/Gewinne!$O161</f>
        <v>-2.4428571428571431</v>
      </c>
      <c r="I161" s="1">
        <f>(Gewinne!$O161-Gewinne!I161)/Gewinne!$O161</f>
        <v>-2.5817461428571429</v>
      </c>
      <c r="J161" s="1">
        <f>(Gewinne!$O161-Gewinne!J161)/Gewinne!$O161</f>
        <v>-2.6142857142857143</v>
      </c>
      <c r="K161" s="1">
        <f>(Gewinne!$O161-Gewinne!K161)/Gewinne!$O161</f>
        <v>0</v>
      </c>
      <c r="L161" s="1">
        <f>(Gewinne!$O161-Gewinne!L161)/Gewinne!$O161</f>
        <v>-2.5857142857142859</v>
      </c>
      <c r="M161" s="1">
        <f>(Gewinne!$O161-Gewinne!M161)/Gewinne!$O161</f>
        <v>-2.6285714285714286</v>
      </c>
      <c r="N161" s="1">
        <f>(Gewinne!$O161-Gewinne!N161)/Gewinne!$O161</f>
        <v>-2.6285714285714286</v>
      </c>
      <c r="O161" s="1"/>
    </row>
    <row r="162" spans="2:15" x14ac:dyDescent="0.25">
      <c r="B162" t="s">
        <v>172</v>
      </c>
      <c r="C162" s="1">
        <f>(Gewinne!$O162-Gewinne!C162)/Gewinne!$O162</f>
        <v>-1.5745046042461013</v>
      </c>
      <c r="D162" s="1">
        <f>(Gewinne!$O162-Gewinne!D162)/Gewinne!$O162</f>
        <v>1</v>
      </c>
      <c r="E162" s="1">
        <f>(Gewinne!$O162-Gewinne!E162)/Gewinne!$O162</f>
        <v>-1.2472005212471737</v>
      </c>
      <c r="F162" s="1">
        <f>(Gewinne!$O162-Gewinne!F162)/Gewinne!$O162</f>
        <v>-0.70887152236667417</v>
      </c>
      <c r="G162" s="1">
        <f>(Gewinne!$O162-Gewinne!G162)/Gewinne!$O162</f>
        <v>-1.5228249686739894</v>
      </c>
      <c r="H162" s="1">
        <f>(Gewinne!$O162-Gewinne!H162)/Gewinne!$O162</f>
        <v>-1.4539188568172856</v>
      </c>
      <c r="I162" s="1">
        <f>(Gewinne!$O162-Gewinne!I162)/Gewinne!$O162</f>
        <v>-1.5228249686739894</v>
      </c>
      <c r="J162" s="1">
        <f>(Gewinne!$O162-Gewinne!J162)/Gewinne!$O162</f>
        <v>-1.520241092838531</v>
      </c>
      <c r="K162" s="1">
        <f>(Gewinne!$O162-Gewinne!K162)/Gewinne!$O162</f>
        <v>0.10422054586284857</v>
      </c>
      <c r="L162" s="1">
        <f>(Gewinne!$O162-Gewinne!L162)/Gewinne!$O162</f>
        <v>-1.429801821026607</v>
      </c>
      <c r="M162" s="1">
        <f>(Gewinne!$O162-Gewinne!M162)/Gewinne!$O162</f>
        <v>-1.408268661071387</v>
      </c>
      <c r="N162" s="1">
        <f>(Gewinne!$O162-Gewinne!N162)/Gewinne!$O162</f>
        <v>-1.4194658008889336</v>
      </c>
      <c r="O162" s="1"/>
    </row>
    <row r="163" spans="2:15" x14ac:dyDescent="0.25">
      <c r="B163" t="s">
        <v>173</v>
      </c>
      <c r="C163" s="1">
        <f>(Gewinne!$O163-Gewinne!C163)/Gewinne!$O163</f>
        <v>-0.75775218992166693</v>
      </c>
      <c r="D163" s="1">
        <f>(Gewinne!$O163-Gewinne!D163)/Gewinne!$O163</f>
        <v>0.16146990000222319</v>
      </c>
      <c r="E163" s="1">
        <f>(Gewinne!$O163-Gewinne!E163)/Gewinne!$O163</f>
        <v>-0.60335815779787527</v>
      </c>
      <c r="F163" s="1">
        <f>(Gewinne!$O163-Gewinne!F163)/Gewinne!$O163</f>
        <v>-0.76257676459762525</v>
      </c>
      <c r="G163" s="1">
        <f>(Gewinne!$O163-Gewinne!G163)/Gewinne!$O163</f>
        <v>-0.76746591448065649</v>
      </c>
      <c r="H163" s="1">
        <f>(Gewinne!$O163-Gewinne!H163)/Gewinne!$O163</f>
        <v>-0.73362792699767077</v>
      </c>
      <c r="I163" s="1">
        <f>(Gewinne!$O163-Gewinne!I163)/Gewinne!$O163</f>
        <v>-0.78187598966426164</v>
      </c>
      <c r="J163" s="1">
        <f>(Gewinne!$O163-Gewinne!J163)/Gewinne!$O163</f>
        <v>-0.76746591448065649</v>
      </c>
      <c r="K163" s="1">
        <f>(Gewinne!$O163-Gewinne!K163)/Gewinne!$O163</f>
        <v>0</v>
      </c>
      <c r="L163" s="1">
        <f>(Gewinne!$O163-Gewinne!L163)/Gewinne!$O163</f>
        <v>-0.73845273326432981</v>
      </c>
      <c r="M163" s="1">
        <f>(Gewinne!$O163-Gewinne!M163)/Gewinne!$O163</f>
        <v>-0.76257676459762525</v>
      </c>
      <c r="N163" s="1">
        <f>(Gewinne!$O163-Gewinne!N163)/Gewinne!$O163</f>
        <v>-0.75781630194733829</v>
      </c>
      <c r="O163" s="1"/>
    </row>
    <row r="164" spans="2:15" x14ac:dyDescent="0.25">
      <c r="B164" t="s">
        <v>174</v>
      </c>
      <c r="C164" s="1">
        <f>(Gewinne!$O164-Gewinne!C164)/Gewinne!$O164</f>
        <v>-2.1824619476706553</v>
      </c>
      <c r="D164" s="1">
        <f>(Gewinne!$O164-Gewinne!D164)/Gewinne!$O164</f>
        <v>1</v>
      </c>
      <c r="E164" s="1">
        <f>(Gewinne!$O164-Gewinne!E164)/Gewinne!$O164</f>
        <v>-2.0540439837448656</v>
      </c>
      <c r="F164" s="1">
        <f>(Gewinne!$O164-Gewinne!F164)/Gewinne!$O164</f>
        <v>-1.8722357545272708</v>
      </c>
      <c r="G164" s="1">
        <f>(Gewinne!$O164-Gewinne!G164)/Gewinne!$O164</f>
        <v>-2.2905511974558919</v>
      </c>
      <c r="H164" s="1">
        <f>(Gewinne!$O164-Gewinne!H164)/Gewinne!$O164</f>
        <v>-2.0645546026441606</v>
      </c>
      <c r="I164" s="1">
        <f>(Gewinne!$O164-Gewinne!I164)/Gewinne!$O164</f>
        <v>-2.3010618163551873</v>
      </c>
      <c r="J164" s="1">
        <f>(Gewinne!$O164-Gewinne!J164)/Gewinne!$O164</f>
        <v>-2.3168094562272454</v>
      </c>
      <c r="K164" s="1">
        <f>(Gewinne!$O164-Gewinne!K164)/Gewinne!$O164</f>
        <v>0.16966110695567951</v>
      </c>
      <c r="L164" s="1">
        <f>(Gewinne!$O164-Gewinne!L164)/Gewinne!$O164</f>
        <v>-2.3062988373279505</v>
      </c>
      <c r="M164" s="1">
        <f>(Gewinne!$O164-Gewinne!M164)/Gewinne!$O164</f>
        <v>-2.1959556273622352</v>
      </c>
      <c r="N164" s="1">
        <f>(Gewinne!$O164-Gewinne!N164)/Gewinne!$O164</f>
        <v>-2.0614996912610803</v>
      </c>
      <c r="O164" s="1"/>
    </row>
    <row r="165" spans="2:15" x14ac:dyDescent="0.25">
      <c r="B165" t="s">
        <v>175</v>
      </c>
      <c r="C165" s="1">
        <f>(Gewinne!$O165-Gewinne!C165)/Gewinne!$O165</f>
        <v>-1.3982876278004626</v>
      </c>
      <c r="D165" s="1">
        <f>(Gewinne!$O165-Gewinne!D165)/Gewinne!$O165</f>
        <v>0.18212958986041566</v>
      </c>
      <c r="E165" s="1">
        <f>(Gewinne!$O165-Gewinne!E165)/Gewinne!$O165</f>
        <v>-1.5040927961162431</v>
      </c>
      <c r="F165" s="1">
        <f>(Gewinne!$O165-Gewinne!F165)/Gewinne!$O165</f>
        <v>-1.4701380301661584</v>
      </c>
      <c r="G165" s="1">
        <f>(Gewinne!$O165-Gewinne!G165)/Gewinne!$O165</f>
        <v>-1.5576777534103827</v>
      </c>
      <c r="H165" s="1">
        <f>(Gewinne!$O165-Gewinne!H165)/Gewinne!$O165</f>
        <v>-1.5085645192514852</v>
      </c>
      <c r="I165" s="1">
        <f>(Gewinne!$O165-Gewinne!I165)/Gewinne!$O165</f>
        <v>-1.5515385991405206</v>
      </c>
      <c r="J165" s="1">
        <f>(Gewinne!$O165-Gewinne!J165)/Gewinne!$O165</f>
        <v>-1.5225102589258299</v>
      </c>
      <c r="K165" s="1">
        <f>(Gewinne!$O165-Gewinne!K165)/Gewinne!$O165</f>
        <v>0.22381384571566174</v>
      </c>
      <c r="L165" s="1">
        <f>(Gewinne!$O165-Gewinne!L165)/Gewinne!$O165</f>
        <v>-1.5532060302751409</v>
      </c>
      <c r="M165" s="1">
        <f>(Gewinne!$O165-Gewinne!M165)/Gewinne!$O165</f>
        <v>-1.5654843388148654</v>
      </c>
      <c r="N165" s="1">
        <f>(Gewinne!$O165-Gewinne!N165)/Gewinne!$O165</f>
        <v>-1.5517660425279107</v>
      </c>
      <c r="O165" s="1"/>
    </row>
    <row r="166" spans="2:15" x14ac:dyDescent="0.25">
      <c r="B166" t="s">
        <v>176</v>
      </c>
      <c r="C166" s="1">
        <f>(Gewinne!$O166-Gewinne!C166)/Gewinne!$O166</f>
        <v>-0.71065558255248684</v>
      </c>
      <c r="D166" s="1">
        <f>(Gewinne!$O166-Gewinne!D166)/Gewinne!$O166</f>
        <v>0.72104125429566934</v>
      </c>
      <c r="E166" s="1">
        <f>(Gewinne!$O166-Gewinne!E166)/Gewinne!$O166</f>
        <v>-0.13776709849931593</v>
      </c>
      <c r="F166" s="1">
        <f>(Gewinne!$O166-Gewinne!F166)/Gewinne!$O166</f>
        <v>1.8063329356050116E-2</v>
      </c>
      <c r="G166" s="1">
        <f>(Gewinne!$O166-Gewinne!G166)/Gewinne!$O166</f>
        <v>-0.69176371166590434</v>
      </c>
      <c r="H166" s="1">
        <f>(Gewinne!$O166-Gewinne!H166)/Gewinne!$O166</f>
        <v>-0.63575089862289502</v>
      </c>
      <c r="I166" s="1">
        <f>(Gewinne!$O166-Gewinne!I166)/Gewinne!$O166</f>
        <v>-0.67331370719048067</v>
      </c>
      <c r="J166" s="1">
        <f>(Gewinne!$O166-Gewinne!J166)/Gewinne!$O166</f>
        <v>-0.69176371166590434</v>
      </c>
      <c r="K166" s="1">
        <f>(Gewinne!$O166-Gewinne!K166)/Gewinne!$O166</f>
        <v>0</v>
      </c>
      <c r="L166" s="1">
        <f>(Gewinne!$O166-Gewinne!L166)/Gewinne!$O166</f>
        <v>-0.67331370719048067</v>
      </c>
      <c r="M166" s="1">
        <f>(Gewinne!$O166-Gewinne!M166)/Gewinne!$O166</f>
        <v>-0.69198464487148381</v>
      </c>
      <c r="N166" s="1">
        <f>(Gewinne!$O166-Gewinne!N166)/Gewinne!$O166</f>
        <v>-0.67331370719048067</v>
      </c>
      <c r="O166" s="1"/>
    </row>
    <row r="167" spans="2:15" x14ac:dyDescent="0.25">
      <c r="B167" t="s">
        <v>177</v>
      </c>
      <c r="C167" s="1">
        <f>(Gewinne!$O167-Gewinne!C167)/Gewinne!$O167</f>
        <v>-0.78591304347826085</v>
      </c>
      <c r="D167" s="1">
        <f>(Gewinne!$O167-Gewinne!D167)/Gewinne!$O167</f>
        <v>1</v>
      </c>
      <c r="E167" s="1">
        <f>(Gewinne!$O167-Gewinne!E167)/Gewinne!$O167</f>
        <v>-0.3079999826086956</v>
      </c>
      <c r="F167" s="1">
        <f>(Gewinne!$O167-Gewinne!F167)/Gewinne!$O167</f>
        <v>-0.54852175652173918</v>
      </c>
      <c r="G167" s="1">
        <f>(Gewinne!$O167-Gewinne!G167)/Gewinne!$O167</f>
        <v>-0.76973916521739127</v>
      </c>
      <c r="H167" s="1">
        <f>(Gewinne!$O167-Gewinne!H167)/Gewinne!$O167</f>
        <v>-0.76417395652173925</v>
      </c>
      <c r="I167" s="1">
        <f>(Gewinne!$O167-Gewinne!I167)/Gewinne!$O167</f>
        <v>-0.80765221739130444</v>
      </c>
      <c r="J167" s="1">
        <f>(Gewinne!$O167-Gewinne!J167)/Gewinne!$O167</f>
        <v>-0.80765221739130444</v>
      </c>
      <c r="K167" s="1">
        <f>(Gewinne!$O167-Gewinne!K167)/Gewinne!$O167</f>
        <v>8.6956521739130436E-3</v>
      </c>
      <c r="L167" s="1">
        <f>(Gewinne!$O167-Gewinne!L167)/Gewinne!$O167</f>
        <v>-0.76973916521739127</v>
      </c>
      <c r="M167" s="1">
        <f>(Gewinne!$O167-Gewinne!M167)/Gewinne!$O167</f>
        <v>-0.80330439130434794</v>
      </c>
      <c r="N167" s="1">
        <f>(Gewinne!$O167-Gewinne!N167)/Gewinne!$O167</f>
        <v>-0.80330439130434794</v>
      </c>
      <c r="O167" s="1"/>
    </row>
    <row r="168" spans="2:15" x14ac:dyDescent="0.25">
      <c r="B168" t="s">
        <v>178</v>
      </c>
      <c r="C168" s="1" t="e">
        <f>(Gewinne!$O168-Gewinne!C168)/Gewinne!$O168</f>
        <v>#DIV/0!</v>
      </c>
      <c r="D168" s="1" t="e">
        <f>(Gewinne!$O168-Gewinne!D168)/Gewinne!$O168</f>
        <v>#DIV/0!</v>
      </c>
      <c r="E168" s="1" t="e">
        <f>(Gewinne!$O168-Gewinne!E168)/Gewinne!$O168</f>
        <v>#DIV/0!</v>
      </c>
      <c r="F168" s="1" t="e">
        <f>(Gewinne!$O168-Gewinne!F168)/Gewinne!$O168</f>
        <v>#DIV/0!</v>
      </c>
      <c r="G168" s="1" t="e">
        <f>(Gewinne!$O168-Gewinne!G168)/Gewinne!$O168</f>
        <v>#DIV/0!</v>
      </c>
      <c r="H168" s="1" t="e">
        <f>(Gewinne!$O168-Gewinne!H168)/Gewinne!$O168</f>
        <v>#DIV/0!</v>
      </c>
      <c r="I168" s="1" t="e">
        <f>(Gewinne!$O168-Gewinne!I168)/Gewinne!$O168</f>
        <v>#DIV/0!</v>
      </c>
      <c r="J168" s="1" t="e">
        <f>(Gewinne!$O168-Gewinne!J168)/Gewinne!$O168</f>
        <v>#DIV/0!</v>
      </c>
      <c r="K168" s="1" t="e">
        <f>(Gewinne!$O168-Gewinne!K168)/Gewinne!$O168</f>
        <v>#DIV/0!</v>
      </c>
      <c r="L168" s="1" t="e">
        <f>(Gewinne!$O168-Gewinne!L168)/Gewinne!$O168</f>
        <v>#DIV/0!</v>
      </c>
      <c r="M168" s="1" t="e">
        <f>(Gewinne!$O168-Gewinne!M168)/Gewinne!$O168</f>
        <v>#DIV/0!</v>
      </c>
      <c r="N168" s="1" t="e">
        <f>(Gewinne!$O168-Gewinne!N168)/Gewinne!$O168</f>
        <v>#DIV/0!</v>
      </c>
      <c r="O168" s="1"/>
    </row>
    <row r="169" spans="2:15" x14ac:dyDescent="0.25">
      <c r="B169" t="s">
        <v>179</v>
      </c>
      <c r="C169" s="1" t="e">
        <f>(Gewinne!$O169-Gewinne!C169)/Gewinne!$O169</f>
        <v>#DIV/0!</v>
      </c>
      <c r="D169" s="1" t="e">
        <f>(Gewinne!$O169-Gewinne!D169)/Gewinne!$O169</f>
        <v>#DIV/0!</v>
      </c>
      <c r="E169" s="1" t="e">
        <f>(Gewinne!$O169-Gewinne!E169)/Gewinne!$O169</f>
        <v>#DIV/0!</v>
      </c>
      <c r="F169" s="1" t="e">
        <f>(Gewinne!$O169-Gewinne!F169)/Gewinne!$O169</f>
        <v>#DIV/0!</v>
      </c>
      <c r="G169" s="1" t="e">
        <f>(Gewinne!$O169-Gewinne!G169)/Gewinne!$O169</f>
        <v>#DIV/0!</v>
      </c>
      <c r="H169" s="1" t="e">
        <f>(Gewinne!$O169-Gewinne!H169)/Gewinne!$O169</f>
        <v>#DIV/0!</v>
      </c>
      <c r="I169" s="1" t="e">
        <f>(Gewinne!$O169-Gewinne!I169)/Gewinne!$O169</f>
        <v>#DIV/0!</v>
      </c>
      <c r="J169" s="1" t="e">
        <f>(Gewinne!$O169-Gewinne!J169)/Gewinne!$O169</f>
        <v>#DIV/0!</v>
      </c>
      <c r="K169" s="1" t="e">
        <f>(Gewinne!$O169-Gewinne!K169)/Gewinne!$O169</f>
        <v>#DIV/0!</v>
      </c>
      <c r="L169" s="1" t="e">
        <f>(Gewinne!$O169-Gewinne!L169)/Gewinne!$O169</f>
        <v>#DIV/0!</v>
      </c>
      <c r="M169" s="1" t="e">
        <f>(Gewinne!$O169-Gewinne!M169)/Gewinne!$O169</f>
        <v>#DIV/0!</v>
      </c>
      <c r="N169" s="1" t="e">
        <f>(Gewinne!$O169-Gewinne!N169)/Gewinne!$O169</f>
        <v>#DIV/0!</v>
      </c>
      <c r="O169" s="1"/>
    </row>
    <row r="170" spans="2:15" x14ac:dyDescent="0.25">
      <c r="B170" t="s">
        <v>180</v>
      </c>
      <c r="C170" s="1" t="e">
        <f>(Gewinne!$O170-Gewinne!C170)/Gewinne!$O170</f>
        <v>#DIV/0!</v>
      </c>
      <c r="D170" s="1" t="e">
        <f>(Gewinne!$O170-Gewinne!D170)/Gewinne!$O170</f>
        <v>#DIV/0!</v>
      </c>
      <c r="E170" s="1" t="e">
        <f>(Gewinne!$O170-Gewinne!E170)/Gewinne!$O170</f>
        <v>#DIV/0!</v>
      </c>
      <c r="F170" s="1" t="e">
        <f>(Gewinne!$O170-Gewinne!F170)/Gewinne!$O170</f>
        <v>#DIV/0!</v>
      </c>
      <c r="G170" s="1" t="e">
        <f>(Gewinne!$O170-Gewinne!G170)/Gewinne!$O170</f>
        <v>#DIV/0!</v>
      </c>
      <c r="H170" s="1" t="e">
        <f>(Gewinne!$O170-Gewinne!H170)/Gewinne!$O170</f>
        <v>#DIV/0!</v>
      </c>
      <c r="I170" s="1" t="e">
        <f>(Gewinne!$O170-Gewinne!I170)/Gewinne!$O170</f>
        <v>#DIV/0!</v>
      </c>
      <c r="J170" s="1" t="e">
        <f>(Gewinne!$O170-Gewinne!J170)/Gewinne!$O170</f>
        <v>#DIV/0!</v>
      </c>
      <c r="K170" s="1" t="e">
        <f>(Gewinne!$O170-Gewinne!K170)/Gewinne!$O170</f>
        <v>#DIV/0!</v>
      </c>
      <c r="L170" s="1" t="e">
        <f>(Gewinne!$O170-Gewinne!L170)/Gewinne!$O170</f>
        <v>#DIV/0!</v>
      </c>
      <c r="M170" s="1" t="e">
        <f>(Gewinne!$O170-Gewinne!M170)/Gewinne!$O170</f>
        <v>#DIV/0!</v>
      </c>
      <c r="N170" s="1" t="e">
        <f>(Gewinne!$O170-Gewinne!N170)/Gewinne!$O170</f>
        <v>#DIV/0!</v>
      </c>
      <c r="O170" s="1"/>
    </row>
    <row r="171" spans="2:15" x14ac:dyDescent="0.25">
      <c r="B171" t="s">
        <v>181</v>
      </c>
      <c r="C171" s="1" t="e">
        <f>(Gewinne!$O171-Gewinne!C171)/Gewinne!$O171</f>
        <v>#DIV/0!</v>
      </c>
      <c r="D171" s="1" t="e">
        <f>(Gewinne!$O171-Gewinne!D171)/Gewinne!$O171</f>
        <v>#DIV/0!</v>
      </c>
      <c r="E171" s="1" t="e">
        <f>(Gewinne!$O171-Gewinne!E171)/Gewinne!$O171</f>
        <v>#DIV/0!</v>
      </c>
      <c r="F171" s="1" t="e">
        <f>(Gewinne!$O171-Gewinne!F171)/Gewinne!$O171</f>
        <v>#DIV/0!</v>
      </c>
      <c r="G171" s="1" t="e">
        <f>(Gewinne!$O171-Gewinne!G171)/Gewinne!$O171</f>
        <v>#DIV/0!</v>
      </c>
      <c r="H171" s="1" t="e">
        <f>(Gewinne!$O171-Gewinne!H171)/Gewinne!$O171</f>
        <v>#DIV/0!</v>
      </c>
      <c r="I171" s="1" t="e">
        <f>(Gewinne!$O171-Gewinne!I171)/Gewinne!$O171</f>
        <v>#DIV/0!</v>
      </c>
      <c r="J171" s="1" t="e">
        <f>(Gewinne!$O171-Gewinne!J171)/Gewinne!$O171</f>
        <v>#DIV/0!</v>
      </c>
      <c r="K171" s="1" t="e">
        <f>(Gewinne!$O171-Gewinne!K171)/Gewinne!$O171</f>
        <v>#DIV/0!</v>
      </c>
      <c r="L171" s="1" t="e">
        <f>(Gewinne!$O171-Gewinne!L171)/Gewinne!$O171</f>
        <v>#DIV/0!</v>
      </c>
      <c r="M171" s="1" t="e">
        <f>(Gewinne!$O171-Gewinne!M171)/Gewinne!$O171</f>
        <v>#DIV/0!</v>
      </c>
      <c r="N171" s="1" t="e">
        <f>(Gewinne!$O171-Gewinne!N171)/Gewinne!$O171</f>
        <v>#DIV/0!</v>
      </c>
      <c r="O171" s="1"/>
    </row>
    <row r="172" spans="2:15" x14ac:dyDescent="0.25">
      <c r="B172" t="s">
        <v>182</v>
      </c>
      <c r="C172" s="1" t="e">
        <f>(Gewinne!$O172-Gewinne!C172)/Gewinne!$O172</f>
        <v>#DIV/0!</v>
      </c>
      <c r="D172" s="1" t="e">
        <f>(Gewinne!$O172-Gewinne!D172)/Gewinne!$O172</f>
        <v>#DIV/0!</v>
      </c>
      <c r="E172" s="1" t="e">
        <f>(Gewinne!$O172-Gewinne!E172)/Gewinne!$O172</f>
        <v>#DIV/0!</v>
      </c>
      <c r="F172" s="1" t="e">
        <f>(Gewinne!$O172-Gewinne!F172)/Gewinne!$O172</f>
        <v>#DIV/0!</v>
      </c>
      <c r="G172" s="1" t="e">
        <f>(Gewinne!$O172-Gewinne!G172)/Gewinne!$O172</f>
        <v>#DIV/0!</v>
      </c>
      <c r="H172" s="1" t="e">
        <f>(Gewinne!$O172-Gewinne!H172)/Gewinne!$O172</f>
        <v>#DIV/0!</v>
      </c>
      <c r="I172" s="1" t="e">
        <f>(Gewinne!$O172-Gewinne!I172)/Gewinne!$O172</f>
        <v>#DIV/0!</v>
      </c>
      <c r="J172" s="1" t="e">
        <f>(Gewinne!$O172-Gewinne!J172)/Gewinne!$O172</f>
        <v>#DIV/0!</v>
      </c>
      <c r="K172" s="1" t="e">
        <f>(Gewinne!$O172-Gewinne!K172)/Gewinne!$O172</f>
        <v>#DIV/0!</v>
      </c>
      <c r="L172" s="1" t="e">
        <f>(Gewinne!$O172-Gewinne!L172)/Gewinne!$O172</f>
        <v>#DIV/0!</v>
      </c>
      <c r="M172" s="1" t="e">
        <f>(Gewinne!$O172-Gewinne!M172)/Gewinne!$O172</f>
        <v>#DIV/0!</v>
      </c>
      <c r="N172" s="1" t="e">
        <f>(Gewinne!$O172-Gewinne!N172)/Gewinne!$O172</f>
        <v>#DIV/0!</v>
      </c>
      <c r="O172" s="1"/>
    </row>
    <row r="173" spans="2:15" x14ac:dyDescent="0.25">
      <c r="B173" t="s">
        <v>183</v>
      </c>
      <c r="C173" s="1" t="e">
        <f>(Gewinne!$O173-Gewinne!C173)/Gewinne!$O173</f>
        <v>#DIV/0!</v>
      </c>
      <c r="D173" s="1" t="e">
        <f>(Gewinne!$O173-Gewinne!D173)/Gewinne!$O173</f>
        <v>#DIV/0!</v>
      </c>
      <c r="E173" s="1" t="e">
        <f>(Gewinne!$O173-Gewinne!E173)/Gewinne!$O173</f>
        <v>#DIV/0!</v>
      </c>
      <c r="F173" s="1" t="e">
        <f>(Gewinne!$O173-Gewinne!F173)/Gewinne!$O173</f>
        <v>#DIV/0!</v>
      </c>
      <c r="G173" s="1" t="e">
        <f>(Gewinne!$O173-Gewinne!G173)/Gewinne!$O173</f>
        <v>#DIV/0!</v>
      </c>
      <c r="H173" s="1" t="e">
        <f>(Gewinne!$O173-Gewinne!H173)/Gewinne!$O173</f>
        <v>#DIV/0!</v>
      </c>
      <c r="I173" s="1" t="e">
        <f>(Gewinne!$O173-Gewinne!I173)/Gewinne!$O173</f>
        <v>#DIV/0!</v>
      </c>
      <c r="J173" s="1" t="e">
        <f>(Gewinne!$O173-Gewinne!J173)/Gewinne!$O173</f>
        <v>#DIV/0!</v>
      </c>
      <c r="K173" s="1" t="e">
        <f>(Gewinne!$O173-Gewinne!K173)/Gewinne!$O173</f>
        <v>#DIV/0!</v>
      </c>
      <c r="L173" s="1" t="e">
        <f>(Gewinne!$O173-Gewinne!L173)/Gewinne!$O173</f>
        <v>#DIV/0!</v>
      </c>
      <c r="M173" s="1" t="e">
        <f>(Gewinne!$O173-Gewinne!M173)/Gewinne!$O173</f>
        <v>#DIV/0!</v>
      </c>
      <c r="N173" s="1" t="e">
        <f>(Gewinne!$O173-Gewinne!N173)/Gewinne!$O173</f>
        <v>#DIV/0!</v>
      </c>
      <c r="O173" s="1"/>
    </row>
    <row r="174" spans="2:15" x14ac:dyDescent="0.25">
      <c r="B174" t="s">
        <v>184</v>
      </c>
      <c r="C174" s="1" t="e">
        <f>(Gewinne!$O174-Gewinne!C174)/Gewinne!$O174</f>
        <v>#DIV/0!</v>
      </c>
      <c r="D174" s="1" t="e">
        <f>(Gewinne!$O174-Gewinne!D174)/Gewinne!$O174</f>
        <v>#DIV/0!</v>
      </c>
      <c r="E174" s="1" t="e">
        <f>(Gewinne!$O174-Gewinne!E174)/Gewinne!$O174</f>
        <v>#DIV/0!</v>
      </c>
      <c r="F174" s="1" t="e">
        <f>(Gewinne!$O174-Gewinne!F174)/Gewinne!$O174</f>
        <v>#DIV/0!</v>
      </c>
      <c r="G174" s="1" t="e">
        <f>(Gewinne!$O174-Gewinne!G174)/Gewinne!$O174</f>
        <v>#DIV/0!</v>
      </c>
      <c r="H174" s="1" t="e">
        <f>(Gewinne!$O174-Gewinne!H174)/Gewinne!$O174</f>
        <v>#DIV/0!</v>
      </c>
      <c r="I174" s="1" t="e">
        <f>(Gewinne!$O174-Gewinne!I174)/Gewinne!$O174</f>
        <v>#DIV/0!</v>
      </c>
      <c r="J174" s="1" t="e">
        <f>(Gewinne!$O174-Gewinne!J174)/Gewinne!$O174</f>
        <v>#DIV/0!</v>
      </c>
      <c r="K174" s="1" t="e">
        <f>(Gewinne!$O174-Gewinne!K174)/Gewinne!$O174</f>
        <v>#DIV/0!</v>
      </c>
      <c r="L174" s="1" t="e">
        <f>(Gewinne!$O174-Gewinne!L174)/Gewinne!$O174</f>
        <v>#DIV/0!</v>
      </c>
      <c r="M174" s="1" t="e">
        <f>(Gewinne!$O174-Gewinne!M174)/Gewinne!$O174</f>
        <v>#DIV/0!</v>
      </c>
      <c r="N174" s="1" t="e">
        <f>(Gewinne!$O174-Gewinne!N174)/Gewinne!$O174</f>
        <v>#DIV/0!</v>
      </c>
      <c r="O174" s="1"/>
    </row>
    <row r="175" spans="2:15" x14ac:dyDescent="0.25">
      <c r="B175" t="s">
        <v>185</v>
      </c>
      <c r="C175" s="1">
        <f>(Gewinne!$O175-Gewinne!C175)/Gewinne!$O175</f>
        <v>-0.18481848184818481</v>
      </c>
      <c r="D175" s="1">
        <f>(Gewinne!$O175-Gewinne!D175)/Gewinne!$O175</f>
        <v>1</v>
      </c>
      <c r="E175" s="1">
        <f>(Gewinne!$O175-Gewinne!E175)/Gewinne!$O175</f>
        <v>0.16831683168316833</v>
      </c>
      <c r="F175" s="1">
        <f>(Gewinne!$O175-Gewinne!F175)/Gewinne!$O175</f>
        <v>0.42244224422442245</v>
      </c>
      <c r="G175" s="1">
        <f>(Gewinne!$O175-Gewinne!G175)/Gewinne!$O175</f>
        <v>-0.18481848184818481</v>
      </c>
      <c r="H175" s="1">
        <f>(Gewinne!$O175-Gewinne!H175)/Gewinne!$O175</f>
        <v>-0.18481848184818481</v>
      </c>
      <c r="I175" s="1">
        <f>(Gewinne!$O175-Gewinne!I175)/Gewinne!$O175</f>
        <v>-0.18481848184818481</v>
      </c>
      <c r="J175" s="1">
        <f>(Gewinne!$O175-Gewinne!J175)/Gewinne!$O175</f>
        <v>-0.18481848184818481</v>
      </c>
      <c r="K175" s="1">
        <f>(Gewinne!$O175-Gewinne!K175)/Gewinne!$O175</f>
        <v>0</v>
      </c>
      <c r="L175" s="1">
        <f>(Gewinne!$O175-Gewinne!L175)/Gewinne!$O175</f>
        <v>-0.18481848184818481</v>
      </c>
      <c r="M175" s="1">
        <f>(Gewinne!$O175-Gewinne!M175)/Gewinne!$O175</f>
        <v>-0.18481848184818481</v>
      </c>
      <c r="N175" s="1">
        <f>(Gewinne!$O175-Gewinne!N175)/Gewinne!$O175</f>
        <v>-0.18481848184818481</v>
      </c>
      <c r="O175" s="1"/>
    </row>
    <row r="176" spans="2:15" x14ac:dyDescent="0.25">
      <c r="B176" t="s">
        <v>186</v>
      </c>
      <c r="C176" s="1">
        <f>(Gewinne!$O176-Gewinne!C176)/Gewinne!$O176</f>
        <v>-1.4543411452373705</v>
      </c>
      <c r="D176" s="1">
        <f>(Gewinne!$O176-Gewinne!D176)/Gewinne!$O176</f>
        <v>0.68172544696424431</v>
      </c>
      <c r="E176" s="1">
        <f>(Gewinne!$O176-Gewinne!E176)/Gewinne!$O176</f>
        <v>-0.9119767243064264</v>
      </c>
      <c r="F176" s="1">
        <f>(Gewinne!$O176-Gewinne!F176)/Gewinne!$O176</f>
        <v>-1.1203874656412369</v>
      </c>
      <c r="G176" s="1">
        <f>(Gewinne!$O176-Gewinne!G176)/Gewinne!$O176</f>
        <v>-1.4543390116568633</v>
      </c>
      <c r="H176" s="1">
        <f>(Gewinne!$O176-Gewinne!H176)/Gewinne!$O176</f>
        <v>-1.4079568267201459</v>
      </c>
      <c r="I176" s="1">
        <f>(Gewinne!$O176-Gewinne!I176)/Gewinne!$O176</f>
        <v>-1.4543390116568633</v>
      </c>
      <c r="J176" s="1">
        <f>(Gewinne!$O176-Gewinne!J176)/Gewinne!$O176</f>
        <v>-1.4543390116568633</v>
      </c>
      <c r="K176" s="1">
        <f>(Gewinne!$O176-Gewinne!K176)/Gewinne!$O176</f>
        <v>0</v>
      </c>
      <c r="L176" s="1">
        <f>(Gewinne!$O176-Gewinne!L176)/Gewinne!$O176</f>
        <v>-1.4543390116568633</v>
      </c>
      <c r="M176" s="1">
        <f>(Gewinne!$O176-Gewinne!M176)/Gewinne!$O176</f>
        <v>-1.4543390116568633</v>
      </c>
      <c r="N176" s="1">
        <f>(Gewinne!$O176-Gewinne!N176)/Gewinne!$O176</f>
        <v>-1.4543390116568633</v>
      </c>
      <c r="O176" s="1"/>
    </row>
    <row r="177" spans="2:15" x14ac:dyDescent="0.25">
      <c r="B177" t="s">
        <v>187</v>
      </c>
      <c r="C177" s="1">
        <f>(Gewinne!$O177-Gewinne!C177)/Gewinne!$O177</f>
        <v>-0.29173205852781237</v>
      </c>
      <c r="D177" s="1">
        <f>(Gewinne!$O177-Gewinne!D177)/Gewinne!$O177</f>
        <v>1</v>
      </c>
      <c r="E177" s="1">
        <f>(Gewinne!$O177-Gewinne!E177)/Gewinne!$O177</f>
        <v>-0.24322619437671164</v>
      </c>
      <c r="F177" s="1">
        <f>(Gewinne!$O177-Gewinne!F177)/Gewinne!$O177</f>
        <v>0.12631844932005185</v>
      </c>
      <c r="G177" s="1">
        <f>(Gewinne!$O177-Gewinne!G177)/Gewinne!$O177</f>
        <v>-0.29173247891561155</v>
      </c>
      <c r="H177" s="1">
        <f>(Gewinne!$O177-Gewinne!H177)/Gewinne!$O177</f>
        <v>-0.29173247891561155</v>
      </c>
      <c r="I177" s="1">
        <f>(Gewinne!$O177-Gewinne!I177)/Gewinne!$O177</f>
        <v>-0.29173247891561155</v>
      </c>
      <c r="J177" s="1">
        <f>(Gewinne!$O177-Gewinne!J177)/Gewinne!$O177</f>
        <v>-0.29173247891561155</v>
      </c>
      <c r="K177" s="1">
        <f>(Gewinne!$O177-Gewinne!K177)/Gewinne!$O177</f>
        <v>0</v>
      </c>
      <c r="L177" s="1">
        <f>(Gewinne!$O177-Gewinne!L177)/Gewinne!$O177</f>
        <v>-0.29173247891561155</v>
      </c>
      <c r="M177" s="1">
        <f>(Gewinne!$O177-Gewinne!M177)/Gewinne!$O177</f>
        <v>-0.29173247891561155</v>
      </c>
      <c r="N177" s="1">
        <f>(Gewinne!$O177-Gewinne!N177)/Gewinne!$O177</f>
        <v>-0.29173247891561155</v>
      </c>
      <c r="O177" s="1"/>
    </row>
    <row r="178" spans="2:15" x14ac:dyDescent="0.25">
      <c r="B178" t="s">
        <v>188</v>
      </c>
      <c r="C178" s="1">
        <f>(Gewinne!$O178-Gewinne!C178)/Gewinne!$O178</f>
        <v>-0.55371900826446285</v>
      </c>
      <c r="D178" s="1">
        <f>(Gewinne!$O178-Gewinne!D178)/Gewinne!$O178</f>
        <v>1</v>
      </c>
      <c r="E178" s="1">
        <f>(Gewinne!$O178-Gewinne!E178)/Gewinne!$O178</f>
        <v>-0.37190082644628097</v>
      </c>
      <c r="F178" s="1">
        <f>(Gewinne!$O178-Gewinne!F178)/Gewinne!$O178</f>
        <v>0.12764001652892559</v>
      </c>
      <c r="G178" s="1">
        <f>(Gewinne!$O178-Gewinne!G178)/Gewinne!$O178</f>
        <v>-0.52662999999999993</v>
      </c>
      <c r="H178" s="1">
        <f>(Gewinne!$O178-Gewinne!H178)/Gewinne!$O178</f>
        <v>-0.55371900826446285</v>
      </c>
      <c r="I178" s="1">
        <f>(Gewinne!$O178-Gewinne!I178)/Gewinne!$O178</f>
        <v>-0.52662999999999993</v>
      </c>
      <c r="J178" s="1">
        <f>(Gewinne!$O178-Gewinne!J178)/Gewinne!$O178</f>
        <v>-0.55371900826446285</v>
      </c>
      <c r="K178" s="1">
        <f>(Gewinne!$O178-Gewinne!K178)/Gewinne!$O178</f>
        <v>0</v>
      </c>
      <c r="L178" s="1">
        <f>(Gewinne!$O178-Gewinne!L178)/Gewinne!$O178</f>
        <v>-0.52662999999999993</v>
      </c>
      <c r="M178" s="1">
        <f>(Gewinne!$O178-Gewinne!M178)/Gewinne!$O178</f>
        <v>-0.55371900826446285</v>
      </c>
      <c r="N178" s="1">
        <f>(Gewinne!$O178-Gewinne!N178)/Gewinne!$O178</f>
        <v>-0.55371900826446285</v>
      </c>
      <c r="O178" s="1"/>
    </row>
    <row r="179" spans="2:15" x14ac:dyDescent="0.25">
      <c r="B179" t="s">
        <v>189</v>
      </c>
      <c r="C179" s="1">
        <f>(Gewinne!$O179-Gewinne!C179)/Gewinne!$O179</f>
        <v>-0.15553594921234495</v>
      </c>
      <c r="D179" s="1">
        <f>(Gewinne!$O179-Gewinne!D179)/Gewinne!$O179</f>
        <v>1</v>
      </c>
      <c r="E179" s="1">
        <f>(Gewinne!$O179-Gewinne!E179)/Gewinne!$O179</f>
        <v>5.3913542745614017E-2</v>
      </c>
      <c r="F179" s="1">
        <f>(Gewinne!$O179-Gewinne!F179)/Gewinne!$O179</f>
        <v>-9.4528204370357347E-2</v>
      </c>
      <c r="G179" s="1">
        <f>(Gewinne!$O179-Gewinne!G179)/Gewinne!$O179</f>
        <v>-0.15286511953428997</v>
      </c>
      <c r="H179" s="1">
        <f>(Gewinne!$O179-Gewinne!H179)/Gewinne!$O179</f>
        <v>-0.15553640545246764</v>
      </c>
      <c r="I179" s="1">
        <f>(Gewinne!$O179-Gewinne!I179)/Gewinne!$O179</f>
        <v>-9.4528204370357347E-2</v>
      </c>
      <c r="J179" s="1">
        <f>(Gewinne!$O179-Gewinne!J179)/Gewinne!$O179</f>
        <v>-0.15553640545246764</v>
      </c>
      <c r="K179" s="1">
        <f>(Gewinne!$O179-Gewinne!K179)/Gewinne!$O179</f>
        <v>0</v>
      </c>
      <c r="L179" s="1">
        <f>(Gewinne!$O179-Gewinne!L179)/Gewinne!$O179</f>
        <v>-0.15286511953428997</v>
      </c>
      <c r="M179" s="1">
        <f>(Gewinne!$O179-Gewinne!M179)/Gewinne!$O179</f>
        <v>-0.15553640545246764</v>
      </c>
      <c r="N179" s="1">
        <f>(Gewinne!$O179-Gewinne!N179)/Gewinne!$O179</f>
        <v>-0.15553640545246764</v>
      </c>
      <c r="O179" s="1"/>
    </row>
    <row r="180" spans="2:15" x14ac:dyDescent="0.25">
      <c r="B180" t="s">
        <v>190</v>
      </c>
      <c r="C180" s="1">
        <f>(Gewinne!$O180-Gewinne!C180)/Gewinne!$O180</f>
        <v>-0.8006508225210931</v>
      </c>
      <c r="D180" s="1">
        <f>(Gewinne!$O180-Gewinne!D180)/Gewinne!$O180</f>
        <v>1</v>
      </c>
      <c r="E180" s="1">
        <f>(Gewinne!$O180-Gewinne!E180)/Gewinne!$O180</f>
        <v>-0.67254905829040335</v>
      </c>
      <c r="F180" s="1">
        <f>(Gewinne!$O180-Gewinne!F180)/Gewinne!$O180</f>
        <v>1</v>
      </c>
      <c r="G180" s="1">
        <f>(Gewinne!$O180-Gewinne!G180)/Gewinne!$O180</f>
        <v>-0.67254905829040335</v>
      </c>
      <c r="H180" s="1">
        <f>(Gewinne!$O180-Gewinne!H180)/Gewinne!$O180</f>
        <v>-0.80065364082190871</v>
      </c>
      <c r="I180" s="1">
        <f>(Gewinne!$O180-Gewinne!I180)/Gewinne!$O180</f>
        <v>-0.64052291265752703</v>
      </c>
      <c r="J180" s="1">
        <f>(Gewinne!$O180-Gewinne!J180)/Gewinne!$O180</f>
        <v>-0.80065364082190871</v>
      </c>
      <c r="K180" s="1">
        <f>(Gewinne!$O180-Gewinne!K180)/Gewinne!$O180</f>
        <v>0</v>
      </c>
      <c r="L180" s="1">
        <f>(Gewinne!$O180-Gewinne!L180)/Gewinne!$O180</f>
        <v>-0.67254905829040335</v>
      </c>
      <c r="M180" s="1">
        <f>(Gewinne!$O180-Gewinne!M180)/Gewinne!$O180</f>
        <v>-0.80065364082190871</v>
      </c>
      <c r="N180" s="1">
        <f>(Gewinne!$O180-Gewinne!N180)/Gewinne!$O180</f>
        <v>-0.67254905829040335</v>
      </c>
      <c r="O180" s="1"/>
    </row>
    <row r="181" spans="2:15" x14ac:dyDescent="0.25">
      <c r="B181" t="s">
        <v>191</v>
      </c>
      <c r="C181" s="1">
        <f>(Gewinne!$O181-Gewinne!C181)/Gewinne!$O181</f>
        <v>-2.9411764705882355</v>
      </c>
      <c r="D181" s="1">
        <f>(Gewinne!$O181-Gewinne!D181)/Gewinne!$O181</f>
        <v>-0.72427058823529411</v>
      </c>
      <c r="E181" s="1">
        <f>(Gewinne!$O181-Gewinne!E181)/Gewinne!$O181</f>
        <v>-2.9411764705882355</v>
      </c>
      <c r="F181" s="1">
        <f>(Gewinne!$O181-Gewinne!F181)/Gewinne!$O181</f>
        <v>-2.9411764705882355</v>
      </c>
      <c r="G181" s="1">
        <f>(Gewinne!$O181-Gewinne!G181)/Gewinne!$O181</f>
        <v>-2.9411764705882355</v>
      </c>
      <c r="H181" s="1">
        <f>(Gewinne!$O181-Gewinne!H181)/Gewinne!$O181</f>
        <v>-2.9411764705882355</v>
      </c>
      <c r="I181" s="1">
        <f>(Gewinne!$O181-Gewinne!I181)/Gewinne!$O181</f>
        <v>-2.9411764705882355</v>
      </c>
      <c r="J181" s="1">
        <f>(Gewinne!$O181-Gewinne!J181)/Gewinne!$O181</f>
        <v>-2.9411764705882355</v>
      </c>
      <c r="K181" s="1">
        <f>(Gewinne!$O181-Gewinne!K181)/Gewinne!$O181</f>
        <v>0</v>
      </c>
      <c r="L181" s="1">
        <f>(Gewinne!$O181-Gewinne!L181)/Gewinne!$O181</f>
        <v>-2.9411764705882355</v>
      </c>
      <c r="M181" s="1">
        <f>(Gewinne!$O181-Gewinne!M181)/Gewinne!$O181</f>
        <v>-2.9411764705882355</v>
      </c>
      <c r="N181" s="1">
        <f>(Gewinne!$O181-Gewinne!N181)/Gewinne!$O181</f>
        <v>-2.9411764705882355</v>
      </c>
      <c r="O181" s="1"/>
    </row>
    <row r="182" spans="2:15" x14ac:dyDescent="0.25">
      <c r="B182" t="s">
        <v>192</v>
      </c>
      <c r="C182" s="1">
        <f>(Gewinne!$O182-Gewinne!C182)/Gewinne!$O182</f>
        <v>-0.63848096260317844</v>
      </c>
      <c r="D182" s="1">
        <f>(Gewinne!$O182-Gewinne!D182)/Gewinne!$O182</f>
        <v>0.26576339627094953</v>
      </c>
      <c r="E182" s="1">
        <f>(Gewinne!$O182-Gewinne!E182)/Gewinne!$O182</f>
        <v>-0.4459923244098713</v>
      </c>
      <c r="F182" s="1">
        <f>(Gewinne!$O182-Gewinne!F182)/Gewinne!$O182</f>
        <v>-0.48031414260312272</v>
      </c>
      <c r="G182" s="1">
        <f>(Gewinne!$O182-Gewinne!G182)/Gewinne!$O182</f>
        <v>-0.62035910577313014</v>
      </c>
      <c r="H182" s="1">
        <f>(Gewinne!$O182-Gewinne!H182)/Gewinne!$O182</f>
        <v>-0.61627621127162013</v>
      </c>
      <c r="I182" s="1">
        <f>(Gewinne!$O182-Gewinne!I182)/Gewinne!$O182</f>
        <v>-0.63848096260317844</v>
      </c>
      <c r="J182" s="1">
        <f>(Gewinne!$O182-Gewinne!J182)/Gewinne!$O182</f>
        <v>-0.63090028269792486</v>
      </c>
      <c r="K182" s="1">
        <f>(Gewinne!$O182-Gewinne!K182)/Gewinne!$O182</f>
        <v>0</v>
      </c>
      <c r="L182" s="1">
        <f>(Gewinne!$O182-Gewinne!L182)/Gewinne!$O182</f>
        <v>-0.62035910577313014</v>
      </c>
      <c r="M182" s="1">
        <f>(Gewinne!$O182-Gewinne!M182)/Gewinne!$O182</f>
        <v>-0.63848096260317844</v>
      </c>
      <c r="N182" s="1">
        <f>(Gewinne!$O182-Gewinne!N182)/Gewinne!$O182</f>
        <v>-0.63090028269792486</v>
      </c>
      <c r="O182" s="1"/>
    </row>
    <row r="183" spans="2:15" x14ac:dyDescent="0.25">
      <c r="B183" t="s">
        <v>193</v>
      </c>
      <c r="C183" s="1">
        <f>(Gewinne!$O183-Gewinne!C183)/Gewinne!$O183</f>
        <v>-0.35857220535410156</v>
      </c>
      <c r="D183" s="1">
        <f>(Gewinne!$O183-Gewinne!D183)/Gewinne!$O183</f>
        <v>1</v>
      </c>
      <c r="E183" s="1">
        <f>(Gewinne!$O183-Gewinne!E183)/Gewinne!$O183</f>
        <v>-0.20115800330501921</v>
      </c>
      <c r="F183" s="1">
        <f>(Gewinne!$O183-Gewinne!F183)/Gewinne!$O183</f>
        <v>-0.19026946135228603</v>
      </c>
      <c r="G183" s="1">
        <f>(Gewinne!$O183-Gewinne!G183)/Gewinne!$O183</f>
        <v>-0.33865325055263934</v>
      </c>
      <c r="H183" s="1">
        <f>(Gewinne!$O183-Gewinne!H183)/Gewinne!$O183</f>
        <v>-0.34023961571728334</v>
      </c>
      <c r="I183" s="1">
        <f>(Gewinne!$O183-Gewinne!I183)/Gewinne!$O183</f>
        <v>-0.33259194673837444</v>
      </c>
      <c r="J183" s="1">
        <f>(Gewinne!$O183-Gewinne!J183)/Gewinne!$O183</f>
        <v>-0.34940596553379133</v>
      </c>
      <c r="K183" s="1">
        <f>(Gewinne!$O183-Gewinne!K183)/Gewinne!$O183</f>
        <v>0</v>
      </c>
      <c r="L183" s="1">
        <f>(Gewinne!$O183-Gewinne!L183)/Gewinne!$O183</f>
        <v>-0.33865325055263934</v>
      </c>
      <c r="M183" s="1">
        <f>(Gewinne!$O183-Gewinne!M183)/Gewinne!$O183</f>
        <v>-0.35857231535029938</v>
      </c>
      <c r="N183" s="1">
        <f>(Gewinne!$O183-Gewinne!N183)/Gewinne!$O183</f>
        <v>-0.34781960036914739</v>
      </c>
      <c r="O183" s="1"/>
    </row>
    <row r="184" spans="2:15" x14ac:dyDescent="0.25">
      <c r="B184" t="s">
        <v>194</v>
      </c>
      <c r="C184" s="1" t="e">
        <f>(Gewinne!$O184-Gewinne!C184)/Gewinne!$O184</f>
        <v>#DIV/0!</v>
      </c>
      <c r="D184" s="1" t="e">
        <f>(Gewinne!$O184-Gewinne!D184)/Gewinne!$O184</f>
        <v>#DIV/0!</v>
      </c>
      <c r="E184" s="1" t="e">
        <f>(Gewinne!$O184-Gewinne!E184)/Gewinne!$O184</f>
        <v>#DIV/0!</v>
      </c>
      <c r="F184" s="1" t="e">
        <f>(Gewinne!$O184-Gewinne!F184)/Gewinne!$O184</f>
        <v>#DIV/0!</v>
      </c>
      <c r="G184" s="1" t="e">
        <f>(Gewinne!$O184-Gewinne!G184)/Gewinne!$O184</f>
        <v>#DIV/0!</v>
      </c>
      <c r="H184" s="1" t="e">
        <f>(Gewinne!$O184-Gewinne!H184)/Gewinne!$O184</f>
        <v>#DIV/0!</v>
      </c>
      <c r="I184" s="1" t="e">
        <f>(Gewinne!$O184-Gewinne!I184)/Gewinne!$O184</f>
        <v>#DIV/0!</v>
      </c>
      <c r="J184" s="1" t="e">
        <f>(Gewinne!$O184-Gewinne!J184)/Gewinne!$O184</f>
        <v>#DIV/0!</v>
      </c>
      <c r="K184" s="1" t="e">
        <f>(Gewinne!$O184-Gewinne!K184)/Gewinne!$O184</f>
        <v>#DIV/0!</v>
      </c>
      <c r="L184" s="1" t="e">
        <f>(Gewinne!$O184-Gewinne!L184)/Gewinne!$O184</f>
        <v>#DIV/0!</v>
      </c>
      <c r="M184" s="1" t="e">
        <f>(Gewinne!$O184-Gewinne!M184)/Gewinne!$O184</f>
        <v>#DIV/0!</v>
      </c>
      <c r="N184" s="1" t="e">
        <f>(Gewinne!$O184-Gewinne!N184)/Gewinne!$O184</f>
        <v>#DIV/0!</v>
      </c>
      <c r="O184" s="1"/>
    </row>
    <row r="185" spans="2:15" x14ac:dyDescent="0.25">
      <c r="B185" t="s">
        <v>195</v>
      </c>
      <c r="C185" s="1" t="e">
        <f>(Gewinne!$O185-Gewinne!C185)/Gewinne!$O185</f>
        <v>#DIV/0!</v>
      </c>
      <c r="D185" s="1" t="e">
        <f>(Gewinne!$O185-Gewinne!D185)/Gewinne!$O185</f>
        <v>#DIV/0!</v>
      </c>
      <c r="E185" s="1" t="e">
        <f>(Gewinne!$O185-Gewinne!E185)/Gewinne!$O185</f>
        <v>#DIV/0!</v>
      </c>
      <c r="F185" s="1" t="e">
        <f>(Gewinne!$O185-Gewinne!F185)/Gewinne!$O185</f>
        <v>#DIV/0!</v>
      </c>
      <c r="G185" s="1" t="e">
        <f>(Gewinne!$O185-Gewinne!G185)/Gewinne!$O185</f>
        <v>#DIV/0!</v>
      </c>
      <c r="H185" s="1" t="e">
        <f>(Gewinne!$O185-Gewinne!H185)/Gewinne!$O185</f>
        <v>#DIV/0!</v>
      </c>
      <c r="I185" s="1" t="e">
        <f>(Gewinne!$O185-Gewinne!I185)/Gewinne!$O185</f>
        <v>#DIV/0!</v>
      </c>
      <c r="J185" s="1" t="e">
        <f>(Gewinne!$O185-Gewinne!J185)/Gewinne!$O185</f>
        <v>#DIV/0!</v>
      </c>
      <c r="K185" s="1" t="e">
        <f>(Gewinne!$O185-Gewinne!K185)/Gewinne!$O185</f>
        <v>#DIV/0!</v>
      </c>
      <c r="L185" s="1" t="e">
        <f>(Gewinne!$O185-Gewinne!L185)/Gewinne!$O185</f>
        <v>#DIV/0!</v>
      </c>
      <c r="M185" s="1" t="e">
        <f>(Gewinne!$O185-Gewinne!M185)/Gewinne!$O185</f>
        <v>#DIV/0!</v>
      </c>
      <c r="N185" s="1" t="e">
        <f>(Gewinne!$O185-Gewinne!N185)/Gewinne!$O185</f>
        <v>#DIV/0!</v>
      </c>
      <c r="O185" s="1"/>
    </row>
    <row r="186" spans="2:15" x14ac:dyDescent="0.25">
      <c r="B186" t="s">
        <v>196</v>
      </c>
      <c r="C186" s="1" t="e">
        <f>(Gewinne!$O186-Gewinne!C186)/Gewinne!$O186</f>
        <v>#DIV/0!</v>
      </c>
      <c r="D186" s="1" t="e">
        <f>(Gewinne!$O186-Gewinne!D186)/Gewinne!$O186</f>
        <v>#DIV/0!</v>
      </c>
      <c r="E186" s="1" t="e">
        <f>(Gewinne!$O186-Gewinne!E186)/Gewinne!$O186</f>
        <v>#DIV/0!</v>
      </c>
      <c r="F186" s="1" t="e">
        <f>(Gewinne!$O186-Gewinne!F186)/Gewinne!$O186</f>
        <v>#DIV/0!</v>
      </c>
      <c r="G186" s="1" t="e">
        <f>(Gewinne!$O186-Gewinne!G186)/Gewinne!$O186</f>
        <v>#DIV/0!</v>
      </c>
      <c r="H186" s="1" t="e">
        <f>(Gewinne!$O186-Gewinne!H186)/Gewinne!$O186</f>
        <v>#DIV/0!</v>
      </c>
      <c r="I186" s="1" t="e">
        <f>(Gewinne!$O186-Gewinne!I186)/Gewinne!$O186</f>
        <v>#DIV/0!</v>
      </c>
      <c r="J186" s="1" t="e">
        <f>(Gewinne!$O186-Gewinne!J186)/Gewinne!$O186</f>
        <v>#DIV/0!</v>
      </c>
      <c r="K186" s="1" t="e">
        <f>(Gewinne!$O186-Gewinne!K186)/Gewinne!$O186</f>
        <v>#DIV/0!</v>
      </c>
      <c r="L186" s="1" t="e">
        <f>(Gewinne!$O186-Gewinne!L186)/Gewinne!$O186</f>
        <v>#DIV/0!</v>
      </c>
      <c r="M186" s="1" t="e">
        <f>(Gewinne!$O186-Gewinne!M186)/Gewinne!$O186</f>
        <v>#DIV/0!</v>
      </c>
      <c r="N186" s="1" t="e">
        <f>(Gewinne!$O186-Gewinne!N186)/Gewinne!$O186</f>
        <v>#DIV/0!</v>
      </c>
      <c r="O186" s="1"/>
    </row>
    <row r="187" spans="2:15" x14ac:dyDescent="0.25">
      <c r="B187" t="s">
        <v>197</v>
      </c>
      <c r="C187" s="1" t="e">
        <f>(Gewinne!$O187-Gewinne!C187)/Gewinne!$O187</f>
        <v>#DIV/0!</v>
      </c>
      <c r="D187" s="1" t="e">
        <f>(Gewinne!$O187-Gewinne!D187)/Gewinne!$O187</f>
        <v>#DIV/0!</v>
      </c>
      <c r="E187" s="1" t="e">
        <f>(Gewinne!$O187-Gewinne!E187)/Gewinne!$O187</f>
        <v>#DIV/0!</v>
      </c>
      <c r="F187" s="1" t="e">
        <f>(Gewinne!$O187-Gewinne!F187)/Gewinne!$O187</f>
        <v>#DIV/0!</v>
      </c>
      <c r="G187" s="1" t="e">
        <f>(Gewinne!$O187-Gewinne!G187)/Gewinne!$O187</f>
        <v>#DIV/0!</v>
      </c>
      <c r="H187" s="1" t="e">
        <f>(Gewinne!$O187-Gewinne!H187)/Gewinne!$O187</f>
        <v>#DIV/0!</v>
      </c>
      <c r="I187" s="1" t="e">
        <f>(Gewinne!$O187-Gewinne!I187)/Gewinne!$O187</f>
        <v>#DIV/0!</v>
      </c>
      <c r="J187" s="1" t="e">
        <f>(Gewinne!$O187-Gewinne!J187)/Gewinne!$O187</f>
        <v>#DIV/0!</v>
      </c>
      <c r="K187" s="1" t="e">
        <f>(Gewinne!$O187-Gewinne!K187)/Gewinne!$O187</f>
        <v>#DIV/0!</v>
      </c>
      <c r="L187" s="1" t="e">
        <f>(Gewinne!$O187-Gewinne!L187)/Gewinne!$O187</f>
        <v>#DIV/0!</v>
      </c>
      <c r="M187" s="1" t="e">
        <f>(Gewinne!$O187-Gewinne!M187)/Gewinne!$O187</f>
        <v>#DIV/0!</v>
      </c>
      <c r="N187" s="1" t="e">
        <f>(Gewinne!$O187-Gewinne!N187)/Gewinne!$O187</f>
        <v>#DIV/0!</v>
      </c>
      <c r="O187" s="1"/>
    </row>
    <row r="188" spans="2:15" x14ac:dyDescent="0.25">
      <c r="B188" t="s">
        <v>198</v>
      </c>
      <c r="C188" s="1" t="e">
        <f>(Gewinne!$O188-Gewinne!C188)/Gewinne!$O188</f>
        <v>#DIV/0!</v>
      </c>
      <c r="D188" s="1" t="e">
        <f>(Gewinne!$O188-Gewinne!D188)/Gewinne!$O188</f>
        <v>#DIV/0!</v>
      </c>
      <c r="E188" s="1" t="e">
        <f>(Gewinne!$O188-Gewinne!E188)/Gewinne!$O188</f>
        <v>#DIV/0!</v>
      </c>
      <c r="F188" s="1" t="e">
        <f>(Gewinne!$O188-Gewinne!F188)/Gewinne!$O188</f>
        <v>#DIV/0!</v>
      </c>
      <c r="G188" s="1" t="e">
        <f>(Gewinne!$O188-Gewinne!G188)/Gewinne!$O188</f>
        <v>#DIV/0!</v>
      </c>
      <c r="H188" s="1" t="e">
        <f>(Gewinne!$O188-Gewinne!H188)/Gewinne!$O188</f>
        <v>#DIV/0!</v>
      </c>
      <c r="I188" s="1" t="e">
        <f>(Gewinne!$O188-Gewinne!I188)/Gewinne!$O188</f>
        <v>#DIV/0!</v>
      </c>
      <c r="J188" s="1" t="e">
        <f>(Gewinne!$O188-Gewinne!J188)/Gewinne!$O188</f>
        <v>#DIV/0!</v>
      </c>
      <c r="K188" s="1" t="e">
        <f>(Gewinne!$O188-Gewinne!K188)/Gewinne!$O188</f>
        <v>#DIV/0!</v>
      </c>
      <c r="L188" s="1" t="e">
        <f>(Gewinne!$O188-Gewinne!L188)/Gewinne!$O188</f>
        <v>#DIV/0!</v>
      </c>
      <c r="M188" s="1" t="e">
        <f>(Gewinne!$O188-Gewinne!M188)/Gewinne!$O188</f>
        <v>#DIV/0!</v>
      </c>
      <c r="N188" s="1" t="e">
        <f>(Gewinne!$O188-Gewinne!N188)/Gewinne!$O188</f>
        <v>#DIV/0!</v>
      </c>
      <c r="O188" s="1"/>
    </row>
    <row r="189" spans="2:15" x14ac:dyDescent="0.25">
      <c r="B189" t="s">
        <v>199</v>
      </c>
      <c r="C189" s="1" t="e">
        <f>(Gewinne!$O189-Gewinne!C189)/Gewinne!$O189</f>
        <v>#DIV/0!</v>
      </c>
      <c r="D189" s="1" t="e">
        <f>(Gewinne!$O189-Gewinne!D189)/Gewinne!$O189</f>
        <v>#DIV/0!</v>
      </c>
      <c r="E189" s="1" t="e">
        <f>(Gewinne!$O189-Gewinne!E189)/Gewinne!$O189</f>
        <v>#DIV/0!</v>
      </c>
      <c r="F189" s="1" t="e">
        <f>(Gewinne!$O189-Gewinne!F189)/Gewinne!$O189</f>
        <v>#DIV/0!</v>
      </c>
      <c r="G189" s="1" t="e">
        <f>(Gewinne!$O189-Gewinne!G189)/Gewinne!$O189</f>
        <v>#DIV/0!</v>
      </c>
      <c r="H189" s="1" t="e">
        <f>(Gewinne!$O189-Gewinne!H189)/Gewinne!$O189</f>
        <v>#DIV/0!</v>
      </c>
      <c r="I189" s="1" t="e">
        <f>(Gewinne!$O189-Gewinne!I189)/Gewinne!$O189</f>
        <v>#DIV/0!</v>
      </c>
      <c r="J189" s="1" t="e">
        <f>(Gewinne!$O189-Gewinne!J189)/Gewinne!$O189</f>
        <v>#DIV/0!</v>
      </c>
      <c r="K189" s="1" t="e">
        <f>(Gewinne!$O189-Gewinne!K189)/Gewinne!$O189</f>
        <v>#DIV/0!</v>
      </c>
      <c r="L189" s="1" t="e">
        <f>(Gewinne!$O189-Gewinne!L189)/Gewinne!$O189</f>
        <v>#DIV/0!</v>
      </c>
      <c r="M189" s="1" t="e">
        <f>(Gewinne!$O189-Gewinne!M189)/Gewinne!$O189</f>
        <v>#DIV/0!</v>
      </c>
      <c r="N189" s="1" t="e">
        <f>(Gewinne!$O189-Gewinne!N189)/Gewinne!$O189</f>
        <v>#DIV/0!</v>
      </c>
      <c r="O189" s="1"/>
    </row>
    <row r="190" spans="2:15" x14ac:dyDescent="0.25">
      <c r="B190" t="s">
        <v>200</v>
      </c>
      <c r="C190" s="1" t="e">
        <f>(Gewinne!$O190-Gewinne!C190)/Gewinne!$O190</f>
        <v>#DIV/0!</v>
      </c>
      <c r="D190" s="1" t="e">
        <f>(Gewinne!$O190-Gewinne!D190)/Gewinne!$O190</f>
        <v>#DIV/0!</v>
      </c>
      <c r="E190" s="1" t="e">
        <f>(Gewinne!$O190-Gewinne!E190)/Gewinne!$O190</f>
        <v>#DIV/0!</v>
      </c>
      <c r="F190" s="1" t="e">
        <f>(Gewinne!$O190-Gewinne!F190)/Gewinne!$O190</f>
        <v>#DIV/0!</v>
      </c>
      <c r="G190" s="1" t="e">
        <f>(Gewinne!$O190-Gewinne!G190)/Gewinne!$O190</f>
        <v>#DIV/0!</v>
      </c>
      <c r="H190" s="1" t="e">
        <f>(Gewinne!$O190-Gewinne!H190)/Gewinne!$O190</f>
        <v>#DIV/0!</v>
      </c>
      <c r="I190" s="1" t="e">
        <f>(Gewinne!$O190-Gewinne!I190)/Gewinne!$O190</f>
        <v>#DIV/0!</v>
      </c>
      <c r="J190" s="1" t="e">
        <f>(Gewinne!$O190-Gewinne!J190)/Gewinne!$O190</f>
        <v>#DIV/0!</v>
      </c>
      <c r="K190" s="1" t="e">
        <f>(Gewinne!$O190-Gewinne!K190)/Gewinne!$O190</f>
        <v>#DIV/0!</v>
      </c>
      <c r="L190" s="1" t="e">
        <f>(Gewinne!$O190-Gewinne!L190)/Gewinne!$O190</f>
        <v>#DIV/0!</v>
      </c>
      <c r="M190" s="1" t="e">
        <f>(Gewinne!$O190-Gewinne!M190)/Gewinne!$O190</f>
        <v>#DIV/0!</v>
      </c>
      <c r="N190" s="1" t="e">
        <f>(Gewinne!$O190-Gewinne!N190)/Gewinne!$O190</f>
        <v>#DIV/0!</v>
      </c>
      <c r="O190" s="1"/>
    </row>
    <row r="191" spans="2:15" x14ac:dyDescent="0.25">
      <c r="B191" t="s">
        <v>201</v>
      </c>
      <c r="C191" s="1" t="e">
        <f>(Gewinne!$O191-Gewinne!C191)/Gewinne!$O191</f>
        <v>#DIV/0!</v>
      </c>
      <c r="D191" s="1" t="e">
        <f>(Gewinne!$O191-Gewinne!D191)/Gewinne!$O191</f>
        <v>#DIV/0!</v>
      </c>
      <c r="E191" s="1" t="e">
        <f>(Gewinne!$O191-Gewinne!E191)/Gewinne!$O191</f>
        <v>#DIV/0!</v>
      </c>
      <c r="F191" s="1" t="e">
        <f>(Gewinne!$O191-Gewinne!F191)/Gewinne!$O191</f>
        <v>#DIV/0!</v>
      </c>
      <c r="G191" s="1" t="e">
        <f>(Gewinne!$O191-Gewinne!G191)/Gewinne!$O191</f>
        <v>#DIV/0!</v>
      </c>
      <c r="H191" s="1" t="e">
        <f>(Gewinne!$O191-Gewinne!H191)/Gewinne!$O191</f>
        <v>#DIV/0!</v>
      </c>
      <c r="I191" s="1" t="e">
        <f>(Gewinne!$O191-Gewinne!I191)/Gewinne!$O191</f>
        <v>#DIV/0!</v>
      </c>
      <c r="J191" s="1" t="e">
        <f>(Gewinne!$O191-Gewinne!J191)/Gewinne!$O191</f>
        <v>#DIV/0!</v>
      </c>
      <c r="K191" s="1" t="e">
        <f>(Gewinne!$O191-Gewinne!K191)/Gewinne!$O191</f>
        <v>#DIV/0!</v>
      </c>
      <c r="L191" s="1" t="e">
        <f>(Gewinne!$O191-Gewinne!L191)/Gewinne!$O191</f>
        <v>#DIV/0!</v>
      </c>
      <c r="M191" s="1" t="e">
        <f>(Gewinne!$O191-Gewinne!M191)/Gewinne!$O191</f>
        <v>#DIV/0!</v>
      </c>
      <c r="N191" s="1" t="e">
        <f>(Gewinne!$O191-Gewinne!N191)/Gewinne!$O191</f>
        <v>#DIV/0!</v>
      </c>
      <c r="O191" s="1"/>
    </row>
    <row r="192" spans="2:15" x14ac:dyDescent="0.25">
      <c r="B192" t="s">
        <v>202</v>
      </c>
      <c r="C192" s="1" t="e">
        <f>(Gewinne!$O192-Gewinne!C192)/Gewinne!$O192</f>
        <v>#DIV/0!</v>
      </c>
      <c r="D192" s="1" t="e">
        <f>(Gewinne!$O192-Gewinne!D192)/Gewinne!$O192</f>
        <v>#DIV/0!</v>
      </c>
      <c r="E192" s="1" t="e">
        <f>(Gewinne!$O192-Gewinne!E192)/Gewinne!$O192</f>
        <v>#DIV/0!</v>
      </c>
      <c r="F192" s="1" t="e">
        <f>(Gewinne!$O192-Gewinne!F192)/Gewinne!$O192</f>
        <v>#DIV/0!</v>
      </c>
      <c r="G192" s="1" t="e">
        <f>(Gewinne!$O192-Gewinne!G192)/Gewinne!$O192</f>
        <v>#DIV/0!</v>
      </c>
      <c r="H192" s="1" t="e">
        <f>(Gewinne!$O192-Gewinne!H192)/Gewinne!$O192</f>
        <v>#DIV/0!</v>
      </c>
      <c r="I192" s="1" t="e">
        <f>(Gewinne!$O192-Gewinne!I192)/Gewinne!$O192</f>
        <v>#DIV/0!</v>
      </c>
      <c r="J192" s="1" t="e">
        <f>(Gewinne!$O192-Gewinne!J192)/Gewinne!$O192</f>
        <v>#DIV/0!</v>
      </c>
      <c r="K192" s="1" t="e">
        <f>(Gewinne!$O192-Gewinne!K192)/Gewinne!$O192</f>
        <v>#DIV/0!</v>
      </c>
      <c r="L192" s="1" t="e">
        <f>(Gewinne!$O192-Gewinne!L192)/Gewinne!$O192</f>
        <v>#DIV/0!</v>
      </c>
      <c r="M192" s="1" t="e">
        <f>(Gewinne!$O192-Gewinne!M192)/Gewinne!$O192</f>
        <v>#DIV/0!</v>
      </c>
      <c r="N192" s="1" t="e">
        <f>(Gewinne!$O192-Gewinne!N192)/Gewinne!$O192</f>
        <v>#DIV/0!</v>
      </c>
      <c r="O192" s="1"/>
    </row>
    <row r="193" spans="2:15" x14ac:dyDescent="0.25">
      <c r="B193" t="s">
        <v>203</v>
      </c>
      <c r="C193" s="1" t="e">
        <f>(Gewinne!$O193-Gewinne!C193)/Gewinne!$O193</f>
        <v>#DIV/0!</v>
      </c>
      <c r="D193" s="1" t="e">
        <f>(Gewinne!$O193-Gewinne!D193)/Gewinne!$O193</f>
        <v>#DIV/0!</v>
      </c>
      <c r="E193" s="1" t="e">
        <f>(Gewinne!$O193-Gewinne!E193)/Gewinne!$O193</f>
        <v>#DIV/0!</v>
      </c>
      <c r="F193" s="1" t="e">
        <f>(Gewinne!$O193-Gewinne!F193)/Gewinne!$O193</f>
        <v>#DIV/0!</v>
      </c>
      <c r="G193" s="1" t="e">
        <f>(Gewinne!$O193-Gewinne!G193)/Gewinne!$O193</f>
        <v>#DIV/0!</v>
      </c>
      <c r="H193" s="1" t="e">
        <f>(Gewinne!$O193-Gewinne!H193)/Gewinne!$O193</f>
        <v>#DIV/0!</v>
      </c>
      <c r="I193" s="1" t="e">
        <f>(Gewinne!$O193-Gewinne!I193)/Gewinne!$O193</f>
        <v>#DIV/0!</v>
      </c>
      <c r="J193" s="1" t="e">
        <f>(Gewinne!$O193-Gewinne!J193)/Gewinne!$O193</f>
        <v>#DIV/0!</v>
      </c>
      <c r="K193" s="1" t="e">
        <f>(Gewinne!$O193-Gewinne!K193)/Gewinne!$O193</f>
        <v>#DIV/0!</v>
      </c>
      <c r="L193" s="1" t="e">
        <f>(Gewinne!$O193-Gewinne!L193)/Gewinne!$O193</f>
        <v>#DIV/0!</v>
      </c>
      <c r="M193" s="1" t="e">
        <f>(Gewinne!$O193-Gewinne!M193)/Gewinne!$O193</f>
        <v>#DIV/0!</v>
      </c>
      <c r="N193" s="1" t="e">
        <f>(Gewinne!$O193-Gewinne!N193)/Gewinne!$O193</f>
        <v>#DIV/0!</v>
      </c>
      <c r="O193" s="1"/>
    </row>
    <row r="194" spans="2:15" x14ac:dyDescent="0.25">
      <c r="B194" t="s">
        <v>204</v>
      </c>
      <c r="C194" s="1" t="e">
        <f>(Gewinne!$O194-Gewinne!C194)/Gewinne!$O194</f>
        <v>#DIV/0!</v>
      </c>
      <c r="D194" s="1" t="e">
        <f>(Gewinne!$O194-Gewinne!D194)/Gewinne!$O194</f>
        <v>#DIV/0!</v>
      </c>
      <c r="E194" s="1" t="e">
        <f>(Gewinne!$O194-Gewinne!E194)/Gewinne!$O194</f>
        <v>#DIV/0!</v>
      </c>
      <c r="F194" s="1" t="e">
        <f>(Gewinne!$O194-Gewinne!F194)/Gewinne!$O194</f>
        <v>#DIV/0!</v>
      </c>
      <c r="G194" s="1" t="e">
        <f>(Gewinne!$O194-Gewinne!G194)/Gewinne!$O194</f>
        <v>#DIV/0!</v>
      </c>
      <c r="H194" s="1" t="e">
        <f>(Gewinne!$O194-Gewinne!H194)/Gewinne!$O194</f>
        <v>#DIV/0!</v>
      </c>
      <c r="I194" s="1" t="e">
        <f>(Gewinne!$O194-Gewinne!I194)/Gewinne!$O194</f>
        <v>#DIV/0!</v>
      </c>
      <c r="J194" s="1" t="e">
        <f>(Gewinne!$O194-Gewinne!J194)/Gewinne!$O194</f>
        <v>#DIV/0!</v>
      </c>
      <c r="K194" s="1" t="e">
        <f>(Gewinne!$O194-Gewinne!K194)/Gewinne!$O194</f>
        <v>#DIV/0!</v>
      </c>
      <c r="L194" s="1" t="e">
        <f>(Gewinne!$O194-Gewinne!L194)/Gewinne!$O194</f>
        <v>#DIV/0!</v>
      </c>
      <c r="M194" s="1" t="e">
        <f>(Gewinne!$O194-Gewinne!M194)/Gewinne!$O194</f>
        <v>#DIV/0!</v>
      </c>
      <c r="N194" s="1" t="e">
        <f>(Gewinne!$O194-Gewinne!N194)/Gewinne!$O194</f>
        <v>#DIV/0!</v>
      </c>
      <c r="O194" s="1"/>
    </row>
    <row r="195" spans="2:15" x14ac:dyDescent="0.25">
      <c r="B195" t="s">
        <v>205</v>
      </c>
      <c r="C195" s="1" t="e">
        <f>(Gewinne!$O195-Gewinne!C195)/Gewinne!$O195</f>
        <v>#DIV/0!</v>
      </c>
      <c r="D195" s="1" t="e">
        <f>(Gewinne!$O195-Gewinne!D195)/Gewinne!$O195</f>
        <v>#DIV/0!</v>
      </c>
      <c r="E195" s="1" t="e">
        <f>(Gewinne!$O195-Gewinne!E195)/Gewinne!$O195</f>
        <v>#DIV/0!</v>
      </c>
      <c r="F195" s="1" t="e">
        <f>(Gewinne!$O195-Gewinne!F195)/Gewinne!$O195</f>
        <v>#DIV/0!</v>
      </c>
      <c r="G195" s="1" t="e">
        <f>(Gewinne!$O195-Gewinne!G195)/Gewinne!$O195</f>
        <v>#DIV/0!</v>
      </c>
      <c r="H195" s="1" t="e">
        <f>(Gewinne!$O195-Gewinne!H195)/Gewinne!$O195</f>
        <v>#DIV/0!</v>
      </c>
      <c r="I195" s="1" t="e">
        <f>(Gewinne!$O195-Gewinne!I195)/Gewinne!$O195</f>
        <v>#DIV/0!</v>
      </c>
      <c r="J195" s="1" t="e">
        <f>(Gewinne!$O195-Gewinne!J195)/Gewinne!$O195</f>
        <v>#DIV/0!</v>
      </c>
      <c r="K195" s="1" t="e">
        <f>(Gewinne!$O195-Gewinne!K195)/Gewinne!$O195</f>
        <v>#DIV/0!</v>
      </c>
      <c r="L195" s="1" t="e">
        <f>(Gewinne!$O195-Gewinne!L195)/Gewinne!$O195</f>
        <v>#DIV/0!</v>
      </c>
      <c r="M195" s="1" t="e">
        <f>(Gewinne!$O195-Gewinne!M195)/Gewinne!$O195</f>
        <v>#DIV/0!</v>
      </c>
      <c r="N195" s="1" t="e">
        <f>(Gewinne!$O195-Gewinne!N195)/Gewinne!$O195</f>
        <v>#DIV/0!</v>
      </c>
      <c r="O195" s="1"/>
    </row>
    <row r="196" spans="2:15" x14ac:dyDescent="0.25">
      <c r="B196" t="s">
        <v>206</v>
      </c>
      <c r="C196" s="1" t="e">
        <f>(Gewinne!$O196-Gewinne!C196)/Gewinne!$O196</f>
        <v>#DIV/0!</v>
      </c>
      <c r="D196" s="1" t="e">
        <f>(Gewinne!$O196-Gewinne!D196)/Gewinne!$O196</f>
        <v>#DIV/0!</v>
      </c>
      <c r="E196" s="1" t="e">
        <f>(Gewinne!$O196-Gewinne!E196)/Gewinne!$O196</f>
        <v>#DIV/0!</v>
      </c>
      <c r="F196" s="1" t="e">
        <f>(Gewinne!$O196-Gewinne!F196)/Gewinne!$O196</f>
        <v>#DIV/0!</v>
      </c>
      <c r="G196" s="1" t="e">
        <f>(Gewinne!$O196-Gewinne!G196)/Gewinne!$O196</f>
        <v>#DIV/0!</v>
      </c>
      <c r="H196" s="1" t="e">
        <f>(Gewinne!$O196-Gewinne!H196)/Gewinne!$O196</f>
        <v>#DIV/0!</v>
      </c>
      <c r="I196" s="1" t="e">
        <f>(Gewinne!$O196-Gewinne!I196)/Gewinne!$O196</f>
        <v>#DIV/0!</v>
      </c>
      <c r="J196" s="1" t="e">
        <f>(Gewinne!$O196-Gewinne!J196)/Gewinne!$O196</f>
        <v>#DIV/0!</v>
      </c>
      <c r="K196" s="1" t="e">
        <f>(Gewinne!$O196-Gewinne!K196)/Gewinne!$O196</f>
        <v>#DIV/0!</v>
      </c>
      <c r="L196" s="1" t="e">
        <f>(Gewinne!$O196-Gewinne!L196)/Gewinne!$O196</f>
        <v>#DIV/0!</v>
      </c>
      <c r="M196" s="1" t="e">
        <f>(Gewinne!$O196-Gewinne!M196)/Gewinne!$O196</f>
        <v>#DIV/0!</v>
      </c>
      <c r="N196" s="1" t="e">
        <f>(Gewinne!$O196-Gewinne!N196)/Gewinne!$O196</f>
        <v>#DIV/0!</v>
      </c>
      <c r="O196" s="1"/>
    </row>
    <row r="197" spans="2:15" x14ac:dyDescent="0.25">
      <c r="B197" t="s">
        <v>207</v>
      </c>
      <c r="C197" s="1" t="e">
        <f>(Gewinne!$O197-Gewinne!C197)/Gewinne!$O197</f>
        <v>#DIV/0!</v>
      </c>
      <c r="D197" s="1" t="e">
        <f>(Gewinne!$O197-Gewinne!D197)/Gewinne!$O197</f>
        <v>#DIV/0!</v>
      </c>
      <c r="E197" s="1" t="e">
        <f>(Gewinne!$O197-Gewinne!E197)/Gewinne!$O197</f>
        <v>#DIV/0!</v>
      </c>
      <c r="F197" s="1" t="e">
        <f>(Gewinne!$O197-Gewinne!F197)/Gewinne!$O197</f>
        <v>#DIV/0!</v>
      </c>
      <c r="G197" s="1" t="e">
        <f>(Gewinne!$O197-Gewinne!G197)/Gewinne!$O197</f>
        <v>#DIV/0!</v>
      </c>
      <c r="H197" s="1" t="e">
        <f>(Gewinne!$O197-Gewinne!H197)/Gewinne!$O197</f>
        <v>#DIV/0!</v>
      </c>
      <c r="I197" s="1" t="e">
        <f>(Gewinne!$O197-Gewinne!I197)/Gewinne!$O197</f>
        <v>#DIV/0!</v>
      </c>
      <c r="J197" s="1" t="e">
        <f>(Gewinne!$O197-Gewinne!J197)/Gewinne!$O197</f>
        <v>#DIV/0!</v>
      </c>
      <c r="K197" s="1" t="e">
        <f>(Gewinne!$O197-Gewinne!K197)/Gewinne!$O197</f>
        <v>#DIV/0!</v>
      </c>
      <c r="L197" s="1" t="e">
        <f>(Gewinne!$O197-Gewinne!L197)/Gewinne!$O197</f>
        <v>#DIV/0!</v>
      </c>
      <c r="M197" s="1" t="e">
        <f>(Gewinne!$O197-Gewinne!M197)/Gewinne!$O197</f>
        <v>#DIV/0!</v>
      </c>
      <c r="N197" s="1" t="e">
        <f>(Gewinne!$O197-Gewinne!N197)/Gewinne!$O197</f>
        <v>#DIV/0!</v>
      </c>
      <c r="O197" s="1"/>
    </row>
    <row r="198" spans="2:15" x14ac:dyDescent="0.25">
      <c r="B198" t="s">
        <v>208</v>
      </c>
      <c r="C198" s="1" t="e">
        <f>(Gewinne!$O198-Gewinne!C198)/Gewinne!$O198</f>
        <v>#DIV/0!</v>
      </c>
      <c r="D198" s="1" t="e">
        <f>(Gewinne!$O198-Gewinne!D198)/Gewinne!$O198</f>
        <v>#DIV/0!</v>
      </c>
      <c r="E198" s="1" t="e">
        <f>(Gewinne!$O198-Gewinne!E198)/Gewinne!$O198</f>
        <v>#DIV/0!</v>
      </c>
      <c r="F198" s="1" t="e">
        <f>(Gewinne!$O198-Gewinne!F198)/Gewinne!$O198</f>
        <v>#DIV/0!</v>
      </c>
      <c r="G198" s="1" t="e">
        <f>(Gewinne!$O198-Gewinne!G198)/Gewinne!$O198</f>
        <v>#DIV/0!</v>
      </c>
      <c r="H198" s="1" t="e">
        <f>(Gewinne!$O198-Gewinne!H198)/Gewinne!$O198</f>
        <v>#DIV/0!</v>
      </c>
      <c r="I198" s="1" t="e">
        <f>(Gewinne!$O198-Gewinne!I198)/Gewinne!$O198</f>
        <v>#DIV/0!</v>
      </c>
      <c r="J198" s="1" t="e">
        <f>(Gewinne!$O198-Gewinne!J198)/Gewinne!$O198</f>
        <v>#DIV/0!</v>
      </c>
      <c r="K198" s="1" t="e">
        <f>(Gewinne!$O198-Gewinne!K198)/Gewinne!$O198</f>
        <v>#DIV/0!</v>
      </c>
      <c r="L198" s="1" t="e">
        <f>(Gewinne!$O198-Gewinne!L198)/Gewinne!$O198</f>
        <v>#DIV/0!</v>
      </c>
      <c r="M198" s="1" t="e">
        <f>(Gewinne!$O198-Gewinne!M198)/Gewinne!$O198</f>
        <v>#DIV/0!</v>
      </c>
      <c r="N198" s="1" t="e">
        <f>(Gewinne!$O198-Gewinne!N198)/Gewinne!$O198</f>
        <v>#DIV/0!</v>
      </c>
      <c r="O198" s="1"/>
    </row>
    <row r="199" spans="2:15" x14ac:dyDescent="0.25">
      <c r="B199" t="s">
        <v>209</v>
      </c>
      <c r="C199" s="1" t="e">
        <f>(Gewinne!$O199-Gewinne!C199)/Gewinne!$O199</f>
        <v>#DIV/0!</v>
      </c>
      <c r="D199" s="1" t="e">
        <f>(Gewinne!$O199-Gewinne!D199)/Gewinne!$O199</f>
        <v>#DIV/0!</v>
      </c>
      <c r="E199" s="1" t="e">
        <f>(Gewinne!$O199-Gewinne!E199)/Gewinne!$O199</f>
        <v>#DIV/0!</v>
      </c>
      <c r="F199" s="1" t="e">
        <f>(Gewinne!$O199-Gewinne!F199)/Gewinne!$O199</f>
        <v>#DIV/0!</v>
      </c>
      <c r="G199" s="1" t="e">
        <f>(Gewinne!$O199-Gewinne!G199)/Gewinne!$O199</f>
        <v>#DIV/0!</v>
      </c>
      <c r="H199" s="1" t="e">
        <f>(Gewinne!$O199-Gewinne!H199)/Gewinne!$O199</f>
        <v>#DIV/0!</v>
      </c>
      <c r="I199" s="1" t="e">
        <f>(Gewinne!$O199-Gewinne!I199)/Gewinne!$O199</f>
        <v>#DIV/0!</v>
      </c>
      <c r="J199" s="1" t="e">
        <f>(Gewinne!$O199-Gewinne!J199)/Gewinne!$O199</f>
        <v>#DIV/0!</v>
      </c>
      <c r="K199" s="1" t="e">
        <f>(Gewinne!$O199-Gewinne!K199)/Gewinne!$O199</f>
        <v>#DIV/0!</v>
      </c>
      <c r="L199" s="1" t="e">
        <f>(Gewinne!$O199-Gewinne!L199)/Gewinne!$O199</f>
        <v>#DIV/0!</v>
      </c>
      <c r="M199" s="1" t="e">
        <f>(Gewinne!$O199-Gewinne!M199)/Gewinne!$O199</f>
        <v>#DIV/0!</v>
      </c>
      <c r="N199" s="1" t="e">
        <f>(Gewinne!$O199-Gewinne!N199)/Gewinne!$O199</f>
        <v>#DIV/0!</v>
      </c>
      <c r="O199" s="1"/>
    </row>
    <row r="200" spans="2:15" x14ac:dyDescent="0.25">
      <c r="B200" t="s">
        <v>210</v>
      </c>
      <c r="C200" s="1" t="e">
        <f>(Gewinne!$O200-Gewinne!C200)/Gewinne!$O200</f>
        <v>#DIV/0!</v>
      </c>
      <c r="D200" s="1" t="e">
        <f>(Gewinne!$O200-Gewinne!D200)/Gewinne!$O200</f>
        <v>#DIV/0!</v>
      </c>
      <c r="E200" s="1" t="e">
        <f>(Gewinne!$O200-Gewinne!E200)/Gewinne!$O200</f>
        <v>#DIV/0!</v>
      </c>
      <c r="F200" s="1" t="e">
        <f>(Gewinne!$O200-Gewinne!F200)/Gewinne!$O200</f>
        <v>#DIV/0!</v>
      </c>
      <c r="G200" s="1" t="e">
        <f>(Gewinne!$O200-Gewinne!G200)/Gewinne!$O200</f>
        <v>#DIV/0!</v>
      </c>
      <c r="H200" s="1" t="e">
        <f>(Gewinne!$O200-Gewinne!H200)/Gewinne!$O200</f>
        <v>#DIV/0!</v>
      </c>
      <c r="I200" s="1" t="e">
        <f>(Gewinne!$O200-Gewinne!I200)/Gewinne!$O200</f>
        <v>#DIV/0!</v>
      </c>
      <c r="J200" s="1" t="e">
        <f>(Gewinne!$O200-Gewinne!J200)/Gewinne!$O200</f>
        <v>#DIV/0!</v>
      </c>
      <c r="K200" s="1" t="e">
        <f>(Gewinne!$O200-Gewinne!K200)/Gewinne!$O200</f>
        <v>#DIV/0!</v>
      </c>
      <c r="L200" s="1" t="e">
        <f>(Gewinne!$O200-Gewinne!L200)/Gewinne!$O200</f>
        <v>#DIV/0!</v>
      </c>
      <c r="M200" s="1" t="e">
        <f>(Gewinne!$O200-Gewinne!M200)/Gewinne!$O200</f>
        <v>#DIV/0!</v>
      </c>
      <c r="N200" s="1" t="e">
        <f>(Gewinne!$O200-Gewinne!N200)/Gewinne!$O200</f>
        <v>#DIV/0!</v>
      </c>
      <c r="O200" s="1"/>
    </row>
    <row r="201" spans="2:15" x14ac:dyDescent="0.25">
      <c r="B201" t="s">
        <v>211</v>
      </c>
      <c r="C201" s="1">
        <f>(Gewinne!$O201-Gewinne!C201)/Gewinne!$O201</f>
        <v>-0.12659719091229399</v>
      </c>
      <c r="D201" s="1">
        <f>(Gewinne!$O201-Gewinne!D201)/Gewinne!$O201</f>
        <v>1</v>
      </c>
      <c r="E201" s="1">
        <f>(Gewinne!$O201-Gewinne!E201)/Gewinne!$O201</f>
        <v>-2.4498504832798012E-2</v>
      </c>
      <c r="F201" s="1">
        <f>(Gewinne!$O201-Gewinne!F201)/Gewinne!$O201</f>
        <v>0.37442098380567346</v>
      </c>
      <c r="G201" s="1">
        <f>(Gewinne!$O201-Gewinne!G201)/Gewinne!$O201</f>
        <v>-0.15689568308815982</v>
      </c>
      <c r="H201" s="1">
        <f>(Gewinne!$O201-Gewinne!H201)/Gewinne!$O201</f>
        <v>-0.16226586419283379</v>
      </c>
      <c r="I201" s="1">
        <f>(Gewinne!$O201-Gewinne!I201)/Gewinne!$O201</f>
        <v>-0.12824385136211011</v>
      </c>
      <c r="J201" s="1">
        <f>(Gewinne!$O201-Gewinne!J201)/Gewinne!$O201</f>
        <v>-0.16401810878601086</v>
      </c>
      <c r="K201" s="1">
        <f>(Gewinne!$O201-Gewinne!K201)/Gewinne!$O201</f>
        <v>-1.2281674625902177E-2</v>
      </c>
      <c r="L201" s="1">
        <f>(Gewinne!$O201-Gewinne!L201)/Gewinne!$O201</f>
        <v>-0.13900855437620946</v>
      </c>
      <c r="M201" s="1">
        <f>(Gewinne!$O201-Gewinne!M201)/Gewinne!$O201</f>
        <v>-0.17117296027079099</v>
      </c>
      <c r="N201" s="1">
        <f>(Gewinne!$O201-Gewinne!N201)/Gewinne!$O201</f>
        <v>-0.16759553452840092</v>
      </c>
      <c r="O201" s="1"/>
    </row>
    <row r="202" spans="2:15" x14ac:dyDescent="0.25">
      <c r="B202" t="s">
        <v>212</v>
      </c>
      <c r="C202" s="1">
        <f>(Gewinne!$O202-Gewinne!C202)/Gewinne!$O202</f>
        <v>-1.1325142939826403</v>
      </c>
      <c r="D202" s="1">
        <f>(Gewinne!$O202-Gewinne!D202)/Gewinne!$O202</f>
        <v>0.45415657726690567</v>
      </c>
      <c r="E202" s="1">
        <f>(Gewinne!$O202-Gewinne!E202)/Gewinne!$O202</f>
        <v>-0.87569104996320768</v>
      </c>
      <c r="F202" s="1">
        <f>(Gewinne!$O202-Gewinne!F202)/Gewinne!$O202</f>
        <v>-3.1038077125847722E-2</v>
      </c>
      <c r="G202" s="1">
        <f>(Gewinne!$O202-Gewinne!G202)/Gewinne!$O202</f>
        <v>-1.207210926180013</v>
      </c>
      <c r="H202" s="1">
        <f>(Gewinne!$O202-Gewinne!H202)/Gewinne!$O202</f>
        <v>-1.2498884190680366</v>
      </c>
      <c r="I202" s="1">
        <f>(Gewinne!$O202-Gewinne!I202)/Gewinne!$O202</f>
        <v>-1.1901977881893506</v>
      </c>
      <c r="J202" s="1">
        <f>(Gewinne!$O202-Gewinne!J202)/Gewinne!$O202</f>
        <v>-1.1428156400952612</v>
      </c>
      <c r="K202" s="1">
        <f>(Gewinne!$O202-Gewinne!K202)/Gewinne!$O202</f>
        <v>0</v>
      </c>
      <c r="L202" s="1">
        <f>(Gewinne!$O202-Gewinne!L202)/Gewinne!$O202</f>
        <v>-1.2384942527529146</v>
      </c>
      <c r="M202" s="1">
        <f>(Gewinne!$O202-Gewinne!M202)/Gewinne!$O202</f>
        <v>-1.2413929099630903</v>
      </c>
      <c r="N202" s="1">
        <f>(Gewinne!$O202-Gewinne!N202)/Gewinne!$O202</f>
        <v>-1.2384942527529146</v>
      </c>
      <c r="O202" s="1"/>
    </row>
    <row r="203" spans="2:15" x14ac:dyDescent="0.25">
      <c r="B203" t="s">
        <v>213</v>
      </c>
      <c r="C203" s="1">
        <f>(Gewinne!$O203-Gewinne!C203)/Gewinne!$O203</f>
        <v>-0.50945665632380321</v>
      </c>
      <c r="D203" s="1">
        <f>(Gewinne!$O203-Gewinne!D203)/Gewinne!$O203</f>
        <v>1</v>
      </c>
      <c r="E203" s="1">
        <f>(Gewinne!$O203-Gewinne!E203)/Gewinne!$O203</f>
        <v>-0.41370312321801911</v>
      </c>
      <c r="F203" s="1">
        <f>(Gewinne!$O203-Gewinne!F203)/Gewinne!$O203</f>
        <v>0.18205675657606762</v>
      </c>
      <c r="G203" s="1">
        <f>(Gewinne!$O203-Gewinne!G203)/Gewinne!$O203</f>
        <v>-0.55285834814882695</v>
      </c>
      <c r="H203" s="1">
        <f>(Gewinne!$O203-Gewinne!H203)/Gewinne!$O203</f>
        <v>-0.50816904697729126</v>
      </c>
      <c r="I203" s="1">
        <f>(Gewinne!$O203-Gewinne!I203)/Gewinne!$O203</f>
        <v>-0.49006840084328063</v>
      </c>
      <c r="J203" s="1">
        <f>(Gewinne!$O203-Gewinne!J203)/Gewinne!$O203</f>
        <v>-0.51421927414819601</v>
      </c>
      <c r="K203" s="1">
        <f>(Gewinne!$O203-Gewinne!K203)/Gewinne!$O203</f>
        <v>3.8013879826152792E-2</v>
      </c>
      <c r="L203" s="1">
        <f>(Gewinne!$O203-Gewinne!L203)/Gewinne!$O203</f>
        <v>-0.55285834814882695</v>
      </c>
      <c r="M203" s="1">
        <f>(Gewinne!$O203-Gewinne!M203)/Gewinne!$O203</f>
        <v>-0.56495880249063635</v>
      </c>
      <c r="N203" s="1">
        <f>(Gewinne!$O203-Gewinne!N203)/Gewinne!$O203</f>
        <v>-0.56495880249063635</v>
      </c>
      <c r="O203" s="1"/>
    </row>
    <row r="204" spans="2:15" x14ac:dyDescent="0.25">
      <c r="B204" t="s">
        <v>214</v>
      </c>
      <c r="C204" s="1">
        <f>(Gewinne!$O204-Gewinne!C204)/Gewinne!$O204</f>
        <v>1</v>
      </c>
      <c r="D204" s="1">
        <f>(Gewinne!$O204-Gewinne!D204)/Gewinne!$O204</f>
        <v>1</v>
      </c>
      <c r="E204" s="1">
        <f>(Gewinne!$O204-Gewinne!E204)/Gewinne!$O204</f>
        <v>-5.3255145157380411E-2</v>
      </c>
      <c r="F204" s="1">
        <f>(Gewinne!$O204-Gewinne!F204)/Gewinne!$O204</f>
        <v>9.5116534190072766E-2</v>
      </c>
      <c r="G204" s="1">
        <f>(Gewinne!$O204-Gewinne!G204)/Gewinne!$O204</f>
        <v>-9.5368926145739025E-2</v>
      </c>
      <c r="H204" s="1">
        <f>(Gewinne!$O204-Gewinne!H204)/Gewinne!$O204</f>
        <v>-0.1125749147710796</v>
      </c>
      <c r="I204" s="1">
        <f>(Gewinne!$O204-Gewinne!I204)/Gewinne!$O204</f>
        <v>-0.11062795432905725</v>
      </c>
      <c r="J204" s="1">
        <f>(Gewinne!$O204-Gewinne!J204)/Gewinne!$O204</f>
        <v>-0.15984482056626489</v>
      </c>
      <c r="K204" s="1">
        <f>(Gewinne!$O204-Gewinne!K204)/Gewinne!$O204</f>
        <v>0</v>
      </c>
      <c r="L204" s="1">
        <f>(Gewinne!$O204-Gewinne!L204)/Gewinne!$O204</f>
        <v>-0.14927309117835466</v>
      </c>
      <c r="M204" s="1">
        <f>(Gewinne!$O204-Gewinne!M204)/Gewinne!$O204</f>
        <v>-8.1840554050430586E-2</v>
      </c>
      <c r="N204" s="1">
        <f>(Gewinne!$O204-Gewinne!N204)/Gewinne!$O204</f>
        <v>-0.11444271137488682</v>
      </c>
      <c r="O204" s="1"/>
    </row>
    <row r="205" spans="2:15" x14ac:dyDescent="0.25">
      <c r="B205" t="s">
        <v>215</v>
      </c>
      <c r="C205" s="1">
        <f>(Gewinne!$O205-Gewinne!C205)/Gewinne!$O205</f>
        <v>-0.39690165889127366</v>
      </c>
      <c r="D205" s="1">
        <f>(Gewinne!$O205-Gewinne!D205)/Gewinne!$O205</f>
        <v>1</v>
      </c>
      <c r="E205" s="1">
        <f>(Gewinne!$O205-Gewinne!E205)/Gewinne!$O205</f>
        <v>-5.0493212685067471E-2</v>
      </c>
      <c r="F205" s="1">
        <f>(Gewinne!$O205-Gewinne!F205)/Gewinne!$O205</f>
        <v>-4.5419409820764187E-2</v>
      </c>
      <c r="G205" s="1">
        <f>(Gewinne!$O205-Gewinne!G205)/Gewinne!$O205</f>
        <v>-0.40188109980756054</v>
      </c>
      <c r="H205" s="1">
        <f>(Gewinne!$O205-Gewinne!H205)/Gewinne!$O205</f>
        <v>-0.32928567884359283</v>
      </c>
      <c r="I205" s="1">
        <f>(Gewinne!$O205-Gewinne!I205)/Gewinne!$O205</f>
        <v>-0.41951993591857012</v>
      </c>
      <c r="J205" s="1">
        <f>(Gewinne!$O205-Gewinne!J205)/Gewinne!$O205</f>
        <v>-0.40793071822122451</v>
      </c>
      <c r="K205" s="1">
        <f>(Gewinne!$O205-Gewinne!K205)/Gewinne!$O205</f>
        <v>9.9141884616571627E-2</v>
      </c>
      <c r="L205" s="1">
        <f>(Gewinne!$O205-Gewinne!L205)/Gewinne!$O205</f>
        <v>-0.40188109980756054</v>
      </c>
      <c r="M205" s="1">
        <f>(Gewinne!$O205-Gewinne!M205)/Gewinne!$O205</f>
        <v>-0.40381996621142935</v>
      </c>
      <c r="N205" s="1">
        <f>(Gewinne!$O205-Gewinne!N205)/Gewinne!$O205</f>
        <v>-0.35348415249824872</v>
      </c>
      <c r="O205" s="1"/>
    </row>
    <row r="206" spans="2:15" x14ac:dyDescent="0.25">
      <c r="B206" t="s">
        <v>216</v>
      </c>
      <c r="C206" s="1">
        <f>(Gewinne!$O206-Gewinne!C206)/Gewinne!$O206</f>
        <v>-0.77969248156675275</v>
      </c>
      <c r="D206" s="1">
        <f>(Gewinne!$O206-Gewinne!D206)/Gewinne!$O206</f>
        <v>1</v>
      </c>
      <c r="E206" s="1">
        <f>(Gewinne!$O206-Gewinne!E206)/Gewinne!$O206</f>
        <v>0.15601431219733508</v>
      </c>
      <c r="F206" s="1">
        <f>(Gewinne!$O206-Gewinne!F206)/Gewinne!$O206</f>
        <v>1</v>
      </c>
      <c r="G206" s="1">
        <f>(Gewinne!$O206-Gewinne!G206)/Gewinne!$O206</f>
        <v>-1.0762267637496115</v>
      </c>
      <c r="H206" s="1">
        <f>(Gewinne!$O206-Gewinne!H206)/Gewinne!$O206</f>
        <v>-0.99424148287255343</v>
      </c>
      <c r="I206" s="1">
        <f>(Gewinne!$O206-Gewinne!I206)/Gewinne!$O206</f>
        <v>-1.0592159182168641</v>
      </c>
      <c r="J206" s="1">
        <f>(Gewinne!$O206-Gewinne!J206)/Gewinne!$O206</f>
        <v>-1.105626229177086</v>
      </c>
      <c r="K206" s="1">
        <f>(Gewinne!$O206-Gewinne!K206)/Gewinne!$O206</f>
        <v>0</v>
      </c>
      <c r="L206" s="1">
        <f>(Gewinne!$O206-Gewinne!L206)/Gewinne!$O206</f>
        <v>-0.97241924327431051</v>
      </c>
      <c r="M206" s="1">
        <f>(Gewinne!$O206-Gewinne!M206)/Gewinne!$O206</f>
        <v>-0.82337583403969827</v>
      </c>
      <c r="N206" s="1">
        <f>(Gewinne!$O206-Gewinne!N206)/Gewinne!$O206</f>
        <v>-1.105626229177086</v>
      </c>
      <c r="O206" s="1"/>
    </row>
    <row r="207" spans="2:15" x14ac:dyDescent="0.25">
      <c r="B207" t="s">
        <v>217</v>
      </c>
      <c r="C207" s="1">
        <f>(Gewinne!$O207-Gewinne!C207)/Gewinne!$O207</f>
        <v>1</v>
      </c>
      <c r="D207" s="1">
        <f>(Gewinne!$O207-Gewinne!D207)/Gewinne!$O207</f>
        <v>1</v>
      </c>
      <c r="E207" s="1">
        <f>(Gewinne!$O207-Gewinne!E207)/Gewinne!$O207</f>
        <v>0.11794277688268771</v>
      </c>
      <c r="F207" s="1">
        <f>(Gewinne!$O207-Gewinne!F207)/Gewinne!$O207</f>
        <v>1</v>
      </c>
      <c r="G207" s="1">
        <f>(Gewinne!$O207-Gewinne!G207)/Gewinne!$O207</f>
        <v>-0.36639049487285819</v>
      </c>
      <c r="H207" s="1">
        <f>(Gewinne!$O207-Gewinne!H207)/Gewinne!$O207</f>
        <v>-0.31058496739880365</v>
      </c>
      <c r="I207" s="1">
        <f>(Gewinne!$O207-Gewinne!I207)/Gewinne!$O207</f>
        <v>-0.36696055500772096</v>
      </c>
      <c r="J207" s="1">
        <f>(Gewinne!$O207-Gewinne!J207)/Gewinne!$O207</f>
        <v>-0.38913210587489022</v>
      </c>
      <c r="K207" s="1">
        <f>(Gewinne!$O207-Gewinne!K207)/Gewinne!$O207</f>
        <v>0</v>
      </c>
      <c r="L207" s="1">
        <f>(Gewinne!$O207-Gewinne!L207)/Gewinne!$O207</f>
        <v>-0.37378101182858126</v>
      </c>
      <c r="M207" s="1">
        <f>(Gewinne!$O207-Gewinne!M207)/Gewinne!$O207</f>
        <v>-0.38913210587489022</v>
      </c>
      <c r="N207" s="1">
        <f>(Gewinne!$O207-Gewinne!N207)/Gewinne!$O207</f>
        <v>-0.35217952109627476</v>
      </c>
      <c r="O207" s="1"/>
    </row>
    <row r="208" spans="2:15" x14ac:dyDescent="0.25">
      <c r="B208" t="s">
        <v>218</v>
      </c>
      <c r="C208" s="1">
        <f>(Gewinne!$O208-Gewinne!C208)/Gewinne!$O208</f>
        <v>1</v>
      </c>
      <c r="D208" s="1">
        <f>(Gewinne!$O208-Gewinne!D208)/Gewinne!$O208</f>
        <v>1</v>
      </c>
      <c r="E208" s="1">
        <f>(Gewinne!$O208-Gewinne!E208)/Gewinne!$O208</f>
        <v>0.15254840578698539</v>
      </c>
      <c r="F208" s="1">
        <f>(Gewinne!$O208-Gewinne!F208)/Gewinne!$O208</f>
        <v>0.57778294932430496</v>
      </c>
      <c r="G208" s="1">
        <f>(Gewinne!$O208-Gewinne!G208)/Gewinne!$O208</f>
        <v>-6.3239064443065027E-2</v>
      </c>
      <c r="H208" s="1">
        <f>(Gewinne!$O208-Gewinne!H208)/Gewinne!$O208</f>
        <v>-4.5128913988200521E-2</v>
      </c>
      <c r="I208" s="1">
        <f>(Gewinne!$O208-Gewinne!I208)/Gewinne!$O208</f>
        <v>-4.959024081313438E-2</v>
      </c>
      <c r="J208" s="1">
        <f>(Gewinne!$O208-Gewinne!J208)/Gewinne!$O208</f>
        <v>-3.1400184258043654E-2</v>
      </c>
      <c r="K208" s="1">
        <f>(Gewinne!$O208-Gewinne!K208)/Gewinne!$O208</f>
        <v>5.8704866189434469E-2</v>
      </c>
      <c r="L208" s="1">
        <f>(Gewinne!$O208-Gewinne!L208)/Gewinne!$O208</f>
        <v>-9.2923565682803716E-2</v>
      </c>
      <c r="M208" s="1">
        <f>(Gewinne!$O208-Gewinne!M208)/Gewinne!$O208</f>
        <v>-6.8092879904684822E-2</v>
      </c>
      <c r="N208" s="1">
        <f>(Gewinne!$O208-Gewinne!N208)/Gewinne!$O208</f>
        <v>-9.2923565682803716E-2</v>
      </c>
      <c r="O208" s="1"/>
    </row>
    <row r="209" spans="2:15" x14ac:dyDescent="0.25">
      <c r="B209" t="s">
        <v>219</v>
      </c>
      <c r="C209" s="1">
        <f>(Gewinne!$O209-Gewinne!C209)/Gewinne!$O209</f>
        <v>-0.42299351351351361</v>
      </c>
      <c r="D209" s="1">
        <f>(Gewinne!$O209-Gewinne!D209)/Gewinne!$O209</f>
        <v>1</v>
      </c>
      <c r="E209" s="1">
        <f>(Gewinne!$O209-Gewinne!E209)/Gewinne!$O209</f>
        <v>-0.35419195675675669</v>
      </c>
      <c r="F209" s="1">
        <f>(Gewinne!$O209-Gewinne!F209)/Gewinne!$O209</f>
        <v>-0.1501309729729729</v>
      </c>
      <c r="G209" s="1">
        <f>(Gewinne!$O209-Gewinne!G209)/Gewinne!$O209</f>
        <v>-0.49255370810810806</v>
      </c>
      <c r="H209" s="1">
        <f>(Gewinne!$O209-Gewinne!H209)/Gewinne!$O209</f>
        <v>-0.37581357837837831</v>
      </c>
      <c r="I209" s="1">
        <f>(Gewinne!$O209-Gewinne!I209)/Gewinne!$O209</f>
        <v>-0.48174289729729725</v>
      </c>
      <c r="J209" s="1">
        <f>(Gewinne!$O209-Gewinne!J209)/Gewinne!$O209</f>
        <v>-0.53237734054054042</v>
      </c>
      <c r="K209" s="1">
        <f>(Gewinne!$O209-Gewinne!K209)/Gewinne!$O209</f>
        <v>0</v>
      </c>
      <c r="L209" s="1">
        <f>(Gewinne!$O209-Gewinne!L209)/Gewinne!$O209</f>
        <v>-0.45148925405405399</v>
      </c>
      <c r="M209" s="1">
        <f>(Gewinne!$O209-Gewinne!M209)/Gewinne!$O209</f>
        <v>-0.47533783783783784</v>
      </c>
      <c r="N209" s="1">
        <f>(Gewinne!$O209-Gewinne!N209)/Gewinne!$O209</f>
        <v>-0.46452702702702703</v>
      </c>
      <c r="O209" s="1"/>
    </row>
    <row r="210" spans="2:15" x14ac:dyDescent="0.25">
      <c r="B210" t="s">
        <v>220</v>
      </c>
      <c r="C210" s="1">
        <f>(Gewinne!$O210-Gewinne!C210)/Gewinne!$O210</f>
        <v>-0.41545445538017106</v>
      </c>
      <c r="D210" s="1">
        <f>(Gewinne!$O210-Gewinne!D210)/Gewinne!$O210</f>
        <v>0.70909056396696413</v>
      </c>
      <c r="E210" s="1">
        <f>(Gewinne!$O210-Gewinne!E210)/Gewinne!$O210</f>
        <v>0.32909095178512121</v>
      </c>
      <c r="F210" s="1">
        <f>(Gewinne!$O210-Gewinne!F210)/Gewinne!$O210</f>
        <v>-7.9999931272731681E-2</v>
      </c>
      <c r="G210" s="1">
        <f>(Gewinne!$O210-Gewinne!G210)/Gewinne!$O210</f>
        <v>-0.34999991409091458</v>
      </c>
      <c r="H210" s="1">
        <f>(Gewinne!$O210-Gewinne!H210)/Gewinne!$O210</f>
        <v>-0.34090898194215585</v>
      </c>
      <c r="I210" s="1">
        <f>(Gewinne!$O210-Gewinne!I210)/Gewinne!$O210</f>
        <v>-0.34181809642975752</v>
      </c>
      <c r="J210" s="1">
        <f>(Gewinne!$O210-Gewinne!J210)/Gewinne!$O210</f>
        <v>-0.35818173175207169</v>
      </c>
      <c r="K210" s="1">
        <f>(Gewinne!$O210-Gewinne!K210)/Gewinne!$O210</f>
        <v>0</v>
      </c>
      <c r="L210" s="1">
        <f>(Gewinne!$O210-Gewinne!L210)/Gewinne!$O210</f>
        <v>-0.34999991409091458</v>
      </c>
      <c r="M210" s="1">
        <f>(Gewinne!$O210-Gewinne!M210)/Gewinne!$O210</f>
        <v>-0.38272718473554285</v>
      </c>
      <c r="N210" s="1">
        <f>(Gewinne!$O210-Gewinne!N210)/Gewinne!$O210</f>
        <v>-0.34999991409091458</v>
      </c>
      <c r="O210" s="1"/>
    </row>
    <row r="211" spans="2:15" x14ac:dyDescent="0.25">
      <c r="B211" t="s">
        <v>221</v>
      </c>
      <c r="C211" s="1" t="e">
        <f>(Gewinne!$O211-Gewinne!C211)/Gewinne!$O211</f>
        <v>#DIV/0!</v>
      </c>
      <c r="D211" s="1" t="e">
        <f>(Gewinne!$O211-Gewinne!D211)/Gewinne!$O211</f>
        <v>#DIV/0!</v>
      </c>
      <c r="E211" s="1" t="e">
        <f>(Gewinne!$O211-Gewinne!E211)/Gewinne!$O211</f>
        <v>#DIV/0!</v>
      </c>
      <c r="F211" s="1" t="e">
        <f>(Gewinne!$O211-Gewinne!F211)/Gewinne!$O211</f>
        <v>#DIV/0!</v>
      </c>
      <c r="G211" s="1" t="e">
        <f>(Gewinne!$O211-Gewinne!G211)/Gewinne!$O211</f>
        <v>#DIV/0!</v>
      </c>
      <c r="H211" s="1" t="e">
        <f>(Gewinne!$O211-Gewinne!H211)/Gewinne!$O211</f>
        <v>#DIV/0!</v>
      </c>
      <c r="I211" s="1" t="e">
        <f>(Gewinne!$O211-Gewinne!I211)/Gewinne!$O211</f>
        <v>#DIV/0!</v>
      </c>
      <c r="J211" s="1" t="e">
        <f>(Gewinne!$O211-Gewinne!J211)/Gewinne!$O211</f>
        <v>#DIV/0!</v>
      </c>
      <c r="K211" s="1" t="e">
        <f>(Gewinne!$O211-Gewinne!K211)/Gewinne!$O211</f>
        <v>#DIV/0!</v>
      </c>
      <c r="L211" s="1" t="e">
        <f>(Gewinne!$O211-Gewinne!L211)/Gewinne!$O211</f>
        <v>#DIV/0!</v>
      </c>
      <c r="M211" s="1" t="e">
        <f>(Gewinne!$O211-Gewinne!M211)/Gewinne!$O211</f>
        <v>#DIV/0!</v>
      </c>
      <c r="N211" s="1" t="e">
        <f>(Gewinne!$O211-Gewinne!N211)/Gewinne!$O211</f>
        <v>#DIV/0!</v>
      </c>
      <c r="O211" s="1"/>
    </row>
    <row r="212" spans="2:15" x14ac:dyDescent="0.25">
      <c r="B212" t="s">
        <v>222</v>
      </c>
      <c r="C212" s="1" t="e">
        <f>(Gewinne!$O212-Gewinne!C212)/Gewinne!$O212</f>
        <v>#DIV/0!</v>
      </c>
      <c r="D212" s="1" t="e">
        <f>(Gewinne!$O212-Gewinne!D212)/Gewinne!$O212</f>
        <v>#DIV/0!</v>
      </c>
      <c r="E212" s="1" t="e">
        <f>(Gewinne!$O212-Gewinne!E212)/Gewinne!$O212</f>
        <v>#DIV/0!</v>
      </c>
      <c r="F212" s="1" t="e">
        <f>(Gewinne!$O212-Gewinne!F212)/Gewinne!$O212</f>
        <v>#DIV/0!</v>
      </c>
      <c r="G212" s="1" t="e">
        <f>(Gewinne!$O212-Gewinne!G212)/Gewinne!$O212</f>
        <v>#DIV/0!</v>
      </c>
      <c r="H212" s="1" t="e">
        <f>(Gewinne!$O212-Gewinne!H212)/Gewinne!$O212</f>
        <v>#DIV/0!</v>
      </c>
      <c r="I212" s="1" t="e">
        <f>(Gewinne!$O212-Gewinne!I212)/Gewinne!$O212</f>
        <v>#DIV/0!</v>
      </c>
      <c r="J212" s="1" t="e">
        <f>(Gewinne!$O212-Gewinne!J212)/Gewinne!$O212</f>
        <v>#DIV/0!</v>
      </c>
      <c r="K212" s="1" t="e">
        <f>(Gewinne!$O212-Gewinne!K212)/Gewinne!$O212</f>
        <v>#DIV/0!</v>
      </c>
      <c r="L212" s="1" t="e">
        <f>(Gewinne!$O212-Gewinne!L212)/Gewinne!$O212</f>
        <v>#DIV/0!</v>
      </c>
      <c r="M212" s="1" t="e">
        <f>(Gewinne!$O212-Gewinne!M212)/Gewinne!$O212</f>
        <v>#DIV/0!</v>
      </c>
      <c r="N212" s="1" t="e">
        <f>(Gewinne!$O212-Gewinne!N212)/Gewinne!$O212</f>
        <v>#DIV/0!</v>
      </c>
      <c r="O212" s="1"/>
    </row>
    <row r="213" spans="2:15" x14ac:dyDescent="0.25">
      <c r="B213" t="s">
        <v>223</v>
      </c>
      <c r="C213" s="1">
        <f>(Gewinne!$O213-Gewinne!C213)/Gewinne!$O213</f>
        <v>-4.0119032967032968</v>
      </c>
      <c r="D213" s="1">
        <f>(Gewinne!$O213-Gewinne!D213)/Gewinne!$O213</f>
        <v>1</v>
      </c>
      <c r="E213" s="1">
        <f>(Gewinne!$O213-Gewinne!E213)/Gewinne!$O213</f>
        <v>-3.2820512820512819</v>
      </c>
      <c r="F213" s="1">
        <f>(Gewinne!$O213-Gewinne!F213)/Gewinne!$O213</f>
        <v>1</v>
      </c>
      <c r="G213" s="1">
        <f>(Gewinne!$O213-Gewinne!G213)/Gewinne!$O213</f>
        <v>-3.63003663003663</v>
      </c>
      <c r="H213" s="1">
        <f>(Gewinne!$O213-Gewinne!H213)/Gewinne!$O213</f>
        <v>-3.8360806446886446</v>
      </c>
      <c r="I213" s="1">
        <f>(Gewinne!$O213-Gewinne!I213)/Gewinne!$O213</f>
        <v>-3.6886446886446889</v>
      </c>
      <c r="J213" s="1">
        <f>(Gewinne!$O213-Gewinne!J213)/Gewinne!$O213</f>
        <v>-3.9532967619047619</v>
      </c>
      <c r="K213" s="1">
        <f>(Gewinne!$O213-Gewinne!K213)/Gewinne!$O213</f>
        <v>0.35164835164835168</v>
      </c>
      <c r="L213" s="1">
        <f>(Gewinne!$O213-Gewinne!L213)/Gewinne!$O213</f>
        <v>-3.8360806446886446</v>
      </c>
      <c r="M213" s="1">
        <f>(Gewinne!$O213-Gewinne!M213)/Gewinne!$O213</f>
        <v>-4.0119048205128207</v>
      </c>
      <c r="N213" s="1">
        <f>(Gewinne!$O213-Gewinne!N213)/Gewinne!$O213</f>
        <v>-4.0119048205128207</v>
      </c>
      <c r="O213" s="1"/>
    </row>
    <row r="214" spans="2:15" x14ac:dyDescent="0.25">
      <c r="B214" t="s">
        <v>224</v>
      </c>
      <c r="C214" s="1" t="e">
        <f>(Gewinne!$O214-Gewinne!C214)/Gewinne!$O214</f>
        <v>#DIV/0!</v>
      </c>
      <c r="D214" s="1" t="e">
        <f>(Gewinne!$O214-Gewinne!D214)/Gewinne!$O214</f>
        <v>#DIV/0!</v>
      </c>
      <c r="E214" s="1" t="e">
        <f>(Gewinne!$O214-Gewinne!E214)/Gewinne!$O214</f>
        <v>#DIV/0!</v>
      </c>
      <c r="F214" s="1" t="e">
        <f>(Gewinne!$O214-Gewinne!F214)/Gewinne!$O214</f>
        <v>#DIV/0!</v>
      </c>
      <c r="G214" s="1" t="e">
        <f>(Gewinne!$O214-Gewinne!G214)/Gewinne!$O214</f>
        <v>#DIV/0!</v>
      </c>
      <c r="H214" s="1" t="e">
        <f>(Gewinne!$O214-Gewinne!H214)/Gewinne!$O214</f>
        <v>#DIV/0!</v>
      </c>
      <c r="I214" s="1" t="e">
        <f>(Gewinne!$O214-Gewinne!I214)/Gewinne!$O214</f>
        <v>#DIV/0!</v>
      </c>
      <c r="J214" s="1" t="e">
        <f>(Gewinne!$O214-Gewinne!J214)/Gewinne!$O214</f>
        <v>#DIV/0!</v>
      </c>
      <c r="K214" s="1" t="e">
        <f>(Gewinne!$O214-Gewinne!K214)/Gewinne!$O214</f>
        <v>#DIV/0!</v>
      </c>
      <c r="L214" s="1" t="e">
        <f>(Gewinne!$O214-Gewinne!L214)/Gewinne!$O214</f>
        <v>#DIV/0!</v>
      </c>
      <c r="M214" s="1" t="e">
        <f>(Gewinne!$O214-Gewinne!M214)/Gewinne!$O214</f>
        <v>#DIV/0!</v>
      </c>
      <c r="N214" s="1" t="e">
        <f>(Gewinne!$O214-Gewinne!N214)/Gewinne!$O214</f>
        <v>#DIV/0!</v>
      </c>
      <c r="O214" s="1"/>
    </row>
    <row r="215" spans="2:15" x14ac:dyDescent="0.25">
      <c r="B215" t="s">
        <v>225</v>
      </c>
      <c r="C215" s="1" t="e">
        <f>(Gewinne!$O215-Gewinne!C215)/Gewinne!$O215</f>
        <v>#DIV/0!</v>
      </c>
      <c r="D215" s="1" t="e">
        <f>(Gewinne!$O215-Gewinne!D215)/Gewinne!$O215</f>
        <v>#DIV/0!</v>
      </c>
      <c r="E215" s="1" t="e">
        <f>(Gewinne!$O215-Gewinne!E215)/Gewinne!$O215</f>
        <v>#DIV/0!</v>
      </c>
      <c r="F215" s="1" t="e">
        <f>(Gewinne!$O215-Gewinne!F215)/Gewinne!$O215</f>
        <v>#DIV/0!</v>
      </c>
      <c r="G215" s="1" t="e">
        <f>(Gewinne!$O215-Gewinne!G215)/Gewinne!$O215</f>
        <v>#DIV/0!</v>
      </c>
      <c r="H215" s="1" t="e">
        <f>(Gewinne!$O215-Gewinne!H215)/Gewinne!$O215</f>
        <v>#DIV/0!</v>
      </c>
      <c r="I215" s="1" t="e">
        <f>(Gewinne!$O215-Gewinne!I215)/Gewinne!$O215</f>
        <v>#DIV/0!</v>
      </c>
      <c r="J215" s="1" t="e">
        <f>(Gewinne!$O215-Gewinne!J215)/Gewinne!$O215</f>
        <v>#DIV/0!</v>
      </c>
      <c r="K215" s="1" t="e">
        <f>(Gewinne!$O215-Gewinne!K215)/Gewinne!$O215</f>
        <v>#DIV/0!</v>
      </c>
      <c r="L215" s="1" t="e">
        <f>(Gewinne!$O215-Gewinne!L215)/Gewinne!$O215</f>
        <v>#DIV/0!</v>
      </c>
      <c r="M215" s="1" t="e">
        <f>(Gewinne!$O215-Gewinne!M215)/Gewinne!$O215</f>
        <v>#DIV/0!</v>
      </c>
      <c r="N215" s="1" t="e">
        <f>(Gewinne!$O215-Gewinne!N215)/Gewinne!$O215</f>
        <v>#DIV/0!</v>
      </c>
      <c r="O215" s="1"/>
    </row>
    <row r="216" spans="2:15" x14ac:dyDescent="0.25">
      <c r="B216" t="s">
        <v>226</v>
      </c>
      <c r="C216" s="1" t="e">
        <f>(Gewinne!$O216-Gewinne!C216)/Gewinne!$O216</f>
        <v>#DIV/0!</v>
      </c>
      <c r="D216" s="1" t="e">
        <f>(Gewinne!$O216-Gewinne!D216)/Gewinne!$O216</f>
        <v>#DIV/0!</v>
      </c>
      <c r="E216" s="1" t="e">
        <f>(Gewinne!$O216-Gewinne!E216)/Gewinne!$O216</f>
        <v>#DIV/0!</v>
      </c>
      <c r="F216" s="1" t="e">
        <f>(Gewinne!$O216-Gewinne!F216)/Gewinne!$O216</f>
        <v>#DIV/0!</v>
      </c>
      <c r="G216" s="1" t="e">
        <f>(Gewinne!$O216-Gewinne!G216)/Gewinne!$O216</f>
        <v>#DIV/0!</v>
      </c>
      <c r="H216" s="1" t="e">
        <f>(Gewinne!$O216-Gewinne!H216)/Gewinne!$O216</f>
        <v>#DIV/0!</v>
      </c>
      <c r="I216" s="1" t="e">
        <f>(Gewinne!$O216-Gewinne!I216)/Gewinne!$O216</f>
        <v>#DIV/0!</v>
      </c>
      <c r="J216" s="1" t="e">
        <f>(Gewinne!$O216-Gewinne!J216)/Gewinne!$O216</f>
        <v>#DIV/0!</v>
      </c>
      <c r="K216" s="1" t="e">
        <f>(Gewinne!$O216-Gewinne!K216)/Gewinne!$O216</f>
        <v>#DIV/0!</v>
      </c>
      <c r="L216" s="1" t="e">
        <f>(Gewinne!$O216-Gewinne!L216)/Gewinne!$O216</f>
        <v>#DIV/0!</v>
      </c>
      <c r="M216" s="1" t="e">
        <f>(Gewinne!$O216-Gewinne!M216)/Gewinne!$O216</f>
        <v>#DIV/0!</v>
      </c>
      <c r="N216" s="1" t="e">
        <f>(Gewinne!$O216-Gewinne!N216)/Gewinne!$O216</f>
        <v>#DIV/0!</v>
      </c>
      <c r="O216" s="1"/>
    </row>
    <row r="217" spans="2:15" x14ac:dyDescent="0.25">
      <c r="B217" t="s">
        <v>227</v>
      </c>
      <c r="C217" s="1" t="e">
        <f>(Gewinne!$O217-Gewinne!C217)/Gewinne!$O217</f>
        <v>#DIV/0!</v>
      </c>
      <c r="D217" s="1" t="e">
        <f>(Gewinne!$O217-Gewinne!D217)/Gewinne!$O217</f>
        <v>#DIV/0!</v>
      </c>
      <c r="E217" s="1" t="e">
        <f>(Gewinne!$O217-Gewinne!E217)/Gewinne!$O217</f>
        <v>#DIV/0!</v>
      </c>
      <c r="F217" s="1" t="e">
        <f>(Gewinne!$O217-Gewinne!F217)/Gewinne!$O217</f>
        <v>#DIV/0!</v>
      </c>
      <c r="G217" s="1" t="e">
        <f>(Gewinne!$O217-Gewinne!G217)/Gewinne!$O217</f>
        <v>#DIV/0!</v>
      </c>
      <c r="H217" s="1" t="e">
        <f>(Gewinne!$O217-Gewinne!H217)/Gewinne!$O217</f>
        <v>#DIV/0!</v>
      </c>
      <c r="I217" s="1" t="e">
        <f>(Gewinne!$O217-Gewinne!I217)/Gewinne!$O217</f>
        <v>#DIV/0!</v>
      </c>
      <c r="J217" s="1" t="e">
        <f>(Gewinne!$O217-Gewinne!J217)/Gewinne!$O217</f>
        <v>#DIV/0!</v>
      </c>
      <c r="K217" s="1" t="e">
        <f>(Gewinne!$O217-Gewinne!K217)/Gewinne!$O217</f>
        <v>#DIV/0!</v>
      </c>
      <c r="L217" s="1" t="e">
        <f>(Gewinne!$O217-Gewinne!L217)/Gewinne!$O217</f>
        <v>#DIV/0!</v>
      </c>
      <c r="M217" s="1" t="e">
        <f>(Gewinne!$O217-Gewinne!M217)/Gewinne!$O217</f>
        <v>#DIV/0!</v>
      </c>
      <c r="N217" s="1" t="e">
        <f>(Gewinne!$O217-Gewinne!N217)/Gewinne!$O217</f>
        <v>#DIV/0!</v>
      </c>
      <c r="O217" s="1"/>
    </row>
    <row r="218" spans="2:15" x14ac:dyDescent="0.25">
      <c r="B218" t="s">
        <v>228</v>
      </c>
      <c r="C218" s="1" t="e">
        <f>(Gewinne!$O218-Gewinne!C218)/Gewinne!$O218</f>
        <v>#DIV/0!</v>
      </c>
      <c r="D218" s="1" t="e">
        <f>(Gewinne!$O218-Gewinne!D218)/Gewinne!$O218</f>
        <v>#DIV/0!</v>
      </c>
      <c r="E218" s="1" t="e">
        <f>(Gewinne!$O218-Gewinne!E218)/Gewinne!$O218</f>
        <v>#DIV/0!</v>
      </c>
      <c r="F218" s="1" t="e">
        <f>(Gewinne!$O218-Gewinne!F218)/Gewinne!$O218</f>
        <v>#DIV/0!</v>
      </c>
      <c r="G218" s="1" t="e">
        <f>(Gewinne!$O218-Gewinne!G218)/Gewinne!$O218</f>
        <v>#DIV/0!</v>
      </c>
      <c r="H218" s="1" t="e">
        <f>(Gewinne!$O218-Gewinne!H218)/Gewinne!$O218</f>
        <v>#DIV/0!</v>
      </c>
      <c r="I218" s="1" t="e">
        <f>(Gewinne!$O218-Gewinne!I218)/Gewinne!$O218</f>
        <v>#DIV/0!</v>
      </c>
      <c r="J218" s="1" t="e">
        <f>(Gewinne!$O218-Gewinne!J218)/Gewinne!$O218</f>
        <v>#DIV/0!</v>
      </c>
      <c r="K218" s="1" t="e">
        <f>(Gewinne!$O218-Gewinne!K218)/Gewinne!$O218</f>
        <v>#DIV/0!</v>
      </c>
      <c r="L218" s="1" t="e">
        <f>(Gewinne!$O218-Gewinne!L218)/Gewinne!$O218</f>
        <v>#DIV/0!</v>
      </c>
      <c r="M218" s="1" t="e">
        <f>(Gewinne!$O218-Gewinne!M218)/Gewinne!$O218</f>
        <v>#DIV/0!</v>
      </c>
      <c r="N218" s="1" t="e">
        <f>(Gewinne!$O218-Gewinne!N218)/Gewinne!$O218</f>
        <v>#DIV/0!</v>
      </c>
      <c r="O218" s="1"/>
    </row>
    <row r="219" spans="2:15" x14ac:dyDescent="0.25">
      <c r="B219" t="s">
        <v>229</v>
      </c>
      <c r="C219" s="1">
        <f>(Gewinne!$O219-Gewinne!C219)/Gewinne!$O219</f>
        <v>-1.5510073364783294</v>
      </c>
      <c r="D219" s="1">
        <f>(Gewinne!$O219-Gewinne!D219)/Gewinne!$O219</f>
        <v>0.69607678939045492</v>
      </c>
      <c r="E219" s="1">
        <f>(Gewinne!$O219-Gewinne!E219)/Gewinne!$O219</f>
        <v>-1.2069983588644804</v>
      </c>
      <c r="F219" s="1">
        <f>(Gewinne!$O219-Gewinne!F219)/Gewinne!$O219</f>
        <v>-0.97141451743071905</v>
      </c>
      <c r="G219" s="1">
        <f>(Gewinne!$O219-Gewinne!G219)/Gewinne!$O219</f>
        <v>-1.5510104204277013</v>
      </c>
      <c r="H219" s="1">
        <f>(Gewinne!$O219-Gewinne!H219)/Gewinne!$O219</f>
        <v>-1.325611796248684</v>
      </c>
      <c r="I219" s="1">
        <f>(Gewinne!$O219-Gewinne!I219)/Gewinne!$O219</f>
        <v>-1.4917037017355994</v>
      </c>
      <c r="J219" s="1">
        <f>(Gewinne!$O219-Gewinne!J219)/Gewinne!$O219</f>
        <v>-1.5510104204277013</v>
      </c>
      <c r="K219" s="1">
        <f>(Gewinne!$O219-Gewinne!K219)/Gewinne!$O219</f>
        <v>0</v>
      </c>
      <c r="L219" s="1">
        <f>(Gewinne!$O219-Gewinne!L219)/Gewinne!$O219</f>
        <v>-1.5510104204277013</v>
      </c>
      <c r="M219" s="1">
        <f>(Gewinne!$O219-Gewinne!M219)/Gewinne!$O219</f>
        <v>-1.5510104204277013</v>
      </c>
      <c r="N219" s="1">
        <f>(Gewinne!$O219-Gewinne!N219)/Gewinne!$O219</f>
        <v>-1.5510104204277013</v>
      </c>
      <c r="O219" s="1"/>
    </row>
    <row r="220" spans="2:15" x14ac:dyDescent="0.25">
      <c r="B220" t="s">
        <v>230</v>
      </c>
      <c r="C220" s="1" t="e">
        <f>(Gewinne!$O220-Gewinne!C220)/Gewinne!$O220</f>
        <v>#DIV/0!</v>
      </c>
      <c r="D220" s="1" t="e">
        <f>(Gewinne!$O220-Gewinne!D220)/Gewinne!$O220</f>
        <v>#DIV/0!</v>
      </c>
      <c r="E220" s="1" t="e">
        <f>(Gewinne!$O220-Gewinne!E220)/Gewinne!$O220</f>
        <v>#DIV/0!</v>
      </c>
      <c r="F220" s="1" t="e">
        <f>(Gewinne!$O220-Gewinne!F220)/Gewinne!$O220</f>
        <v>#DIV/0!</v>
      </c>
      <c r="G220" s="1" t="e">
        <f>(Gewinne!$O220-Gewinne!G220)/Gewinne!$O220</f>
        <v>#DIV/0!</v>
      </c>
      <c r="H220" s="1" t="e">
        <f>(Gewinne!$O220-Gewinne!H220)/Gewinne!$O220</f>
        <v>#DIV/0!</v>
      </c>
      <c r="I220" s="1" t="e">
        <f>(Gewinne!$O220-Gewinne!I220)/Gewinne!$O220</f>
        <v>#DIV/0!</v>
      </c>
      <c r="J220" s="1" t="e">
        <f>(Gewinne!$O220-Gewinne!J220)/Gewinne!$O220</f>
        <v>#DIV/0!</v>
      </c>
      <c r="K220" s="1" t="e">
        <f>(Gewinne!$O220-Gewinne!K220)/Gewinne!$O220</f>
        <v>#DIV/0!</v>
      </c>
      <c r="L220" s="1" t="e">
        <f>(Gewinne!$O220-Gewinne!L220)/Gewinne!$O220</f>
        <v>#DIV/0!</v>
      </c>
      <c r="M220" s="1" t="e">
        <f>(Gewinne!$O220-Gewinne!M220)/Gewinne!$O220</f>
        <v>#DIV/0!</v>
      </c>
      <c r="N220" s="1" t="e">
        <f>(Gewinne!$O220-Gewinne!N220)/Gewinne!$O220</f>
        <v>#DIV/0!</v>
      </c>
      <c r="O220" s="1"/>
    </row>
    <row r="221" spans="2:15" x14ac:dyDescent="0.25">
      <c r="B221" t="s">
        <v>231</v>
      </c>
      <c r="C221" s="1" t="e">
        <f>(Gewinne!$O221-Gewinne!C221)/Gewinne!$O221</f>
        <v>#DIV/0!</v>
      </c>
      <c r="D221" s="1" t="e">
        <f>(Gewinne!$O221-Gewinne!D221)/Gewinne!$O221</f>
        <v>#DIV/0!</v>
      </c>
      <c r="E221" s="1" t="e">
        <f>(Gewinne!$O221-Gewinne!E221)/Gewinne!$O221</f>
        <v>#DIV/0!</v>
      </c>
      <c r="F221" s="1" t="e">
        <f>(Gewinne!$O221-Gewinne!F221)/Gewinne!$O221</f>
        <v>#DIV/0!</v>
      </c>
      <c r="G221" s="1" t="e">
        <f>(Gewinne!$O221-Gewinne!G221)/Gewinne!$O221</f>
        <v>#DIV/0!</v>
      </c>
      <c r="H221" s="1" t="e">
        <f>(Gewinne!$O221-Gewinne!H221)/Gewinne!$O221</f>
        <v>#DIV/0!</v>
      </c>
      <c r="I221" s="1" t="e">
        <f>(Gewinne!$O221-Gewinne!I221)/Gewinne!$O221</f>
        <v>#DIV/0!</v>
      </c>
      <c r="J221" s="1" t="e">
        <f>(Gewinne!$O221-Gewinne!J221)/Gewinne!$O221</f>
        <v>#DIV/0!</v>
      </c>
      <c r="K221" s="1" t="e">
        <f>(Gewinne!$O221-Gewinne!K221)/Gewinne!$O221</f>
        <v>#DIV/0!</v>
      </c>
      <c r="L221" s="1" t="e">
        <f>(Gewinne!$O221-Gewinne!L221)/Gewinne!$O221</f>
        <v>#DIV/0!</v>
      </c>
      <c r="M221" s="1" t="e">
        <f>(Gewinne!$O221-Gewinne!M221)/Gewinne!$O221</f>
        <v>#DIV/0!</v>
      </c>
      <c r="N221" s="1" t="e">
        <f>(Gewinne!$O221-Gewinne!N221)/Gewinne!$O221</f>
        <v>#DIV/0!</v>
      </c>
      <c r="O221" s="1"/>
    </row>
    <row r="222" spans="2:15" x14ac:dyDescent="0.25">
      <c r="B222" t="s">
        <v>232</v>
      </c>
      <c r="C222" s="1" t="e">
        <f>(Gewinne!$O222-Gewinne!C222)/Gewinne!$O222</f>
        <v>#DIV/0!</v>
      </c>
      <c r="D222" s="1" t="e">
        <f>(Gewinne!$O222-Gewinne!D222)/Gewinne!$O222</f>
        <v>#DIV/0!</v>
      </c>
      <c r="E222" s="1" t="e">
        <f>(Gewinne!$O222-Gewinne!E222)/Gewinne!$O222</f>
        <v>#DIV/0!</v>
      </c>
      <c r="F222" s="1" t="e">
        <f>(Gewinne!$O222-Gewinne!F222)/Gewinne!$O222</f>
        <v>#DIV/0!</v>
      </c>
      <c r="G222" s="1" t="e">
        <f>(Gewinne!$O222-Gewinne!G222)/Gewinne!$O222</f>
        <v>#DIV/0!</v>
      </c>
      <c r="H222" s="1" t="e">
        <f>(Gewinne!$O222-Gewinne!H222)/Gewinne!$O222</f>
        <v>#DIV/0!</v>
      </c>
      <c r="I222" s="1" t="e">
        <f>(Gewinne!$O222-Gewinne!I222)/Gewinne!$O222</f>
        <v>#DIV/0!</v>
      </c>
      <c r="J222" s="1" t="e">
        <f>(Gewinne!$O222-Gewinne!J222)/Gewinne!$O222</f>
        <v>#DIV/0!</v>
      </c>
      <c r="K222" s="1" t="e">
        <f>(Gewinne!$O222-Gewinne!K222)/Gewinne!$O222</f>
        <v>#DIV/0!</v>
      </c>
      <c r="L222" s="1" t="e">
        <f>(Gewinne!$O222-Gewinne!L222)/Gewinne!$O222</f>
        <v>#DIV/0!</v>
      </c>
      <c r="M222" s="1" t="e">
        <f>(Gewinne!$O222-Gewinne!M222)/Gewinne!$O222</f>
        <v>#DIV/0!</v>
      </c>
      <c r="N222" s="1" t="e">
        <f>(Gewinne!$O222-Gewinne!N222)/Gewinne!$O222</f>
        <v>#DIV/0!</v>
      </c>
      <c r="O222" s="1"/>
    </row>
    <row r="223" spans="2:15" x14ac:dyDescent="0.25">
      <c r="B223" t="s">
        <v>233</v>
      </c>
      <c r="C223" s="1" t="e">
        <f>(Gewinne!$O223-Gewinne!C223)/Gewinne!$O223</f>
        <v>#DIV/0!</v>
      </c>
      <c r="D223" s="1" t="e">
        <f>(Gewinne!$O223-Gewinne!D223)/Gewinne!$O223</f>
        <v>#DIV/0!</v>
      </c>
      <c r="E223" s="1" t="e">
        <f>(Gewinne!$O223-Gewinne!E223)/Gewinne!$O223</f>
        <v>#DIV/0!</v>
      </c>
      <c r="F223" s="1" t="e">
        <f>(Gewinne!$O223-Gewinne!F223)/Gewinne!$O223</f>
        <v>#DIV/0!</v>
      </c>
      <c r="G223" s="1" t="e">
        <f>(Gewinne!$O223-Gewinne!G223)/Gewinne!$O223</f>
        <v>#DIV/0!</v>
      </c>
      <c r="H223" s="1" t="e">
        <f>(Gewinne!$O223-Gewinne!H223)/Gewinne!$O223</f>
        <v>#DIV/0!</v>
      </c>
      <c r="I223" s="1" t="e">
        <f>(Gewinne!$O223-Gewinne!I223)/Gewinne!$O223</f>
        <v>#DIV/0!</v>
      </c>
      <c r="J223" s="1" t="e">
        <f>(Gewinne!$O223-Gewinne!J223)/Gewinne!$O223</f>
        <v>#DIV/0!</v>
      </c>
      <c r="K223" s="1" t="e">
        <f>(Gewinne!$O223-Gewinne!K223)/Gewinne!$O223</f>
        <v>#DIV/0!</v>
      </c>
      <c r="L223" s="1" t="e">
        <f>(Gewinne!$O223-Gewinne!L223)/Gewinne!$O223</f>
        <v>#DIV/0!</v>
      </c>
      <c r="M223" s="1" t="e">
        <f>(Gewinne!$O223-Gewinne!M223)/Gewinne!$O223</f>
        <v>#DIV/0!</v>
      </c>
      <c r="N223" s="1" t="e">
        <f>(Gewinne!$O223-Gewinne!N223)/Gewinne!$O223</f>
        <v>#DIV/0!</v>
      </c>
      <c r="O223" s="1"/>
    </row>
    <row r="224" spans="2:15" x14ac:dyDescent="0.25">
      <c r="B224" t="s">
        <v>234</v>
      </c>
      <c r="C224" s="1" t="e">
        <f>(Gewinne!$O224-Gewinne!C224)/Gewinne!$O224</f>
        <v>#DIV/0!</v>
      </c>
      <c r="D224" s="1" t="e">
        <f>(Gewinne!$O224-Gewinne!D224)/Gewinne!$O224</f>
        <v>#DIV/0!</v>
      </c>
      <c r="E224" s="1" t="e">
        <f>(Gewinne!$O224-Gewinne!E224)/Gewinne!$O224</f>
        <v>#DIV/0!</v>
      </c>
      <c r="F224" s="1" t="e">
        <f>(Gewinne!$O224-Gewinne!F224)/Gewinne!$O224</f>
        <v>#DIV/0!</v>
      </c>
      <c r="G224" s="1" t="e">
        <f>(Gewinne!$O224-Gewinne!G224)/Gewinne!$O224</f>
        <v>#DIV/0!</v>
      </c>
      <c r="H224" s="1" t="e">
        <f>(Gewinne!$O224-Gewinne!H224)/Gewinne!$O224</f>
        <v>#DIV/0!</v>
      </c>
      <c r="I224" s="1" t="e">
        <f>(Gewinne!$O224-Gewinne!I224)/Gewinne!$O224</f>
        <v>#DIV/0!</v>
      </c>
      <c r="J224" s="1" t="e">
        <f>(Gewinne!$O224-Gewinne!J224)/Gewinne!$O224</f>
        <v>#DIV/0!</v>
      </c>
      <c r="K224" s="1" t="e">
        <f>(Gewinne!$O224-Gewinne!K224)/Gewinne!$O224</f>
        <v>#DIV/0!</v>
      </c>
      <c r="L224" s="1" t="e">
        <f>(Gewinne!$O224-Gewinne!L224)/Gewinne!$O224</f>
        <v>#DIV/0!</v>
      </c>
      <c r="M224" s="1" t="e">
        <f>(Gewinne!$O224-Gewinne!M224)/Gewinne!$O224</f>
        <v>#DIV/0!</v>
      </c>
      <c r="N224" s="1" t="e">
        <f>(Gewinne!$O224-Gewinne!N224)/Gewinne!$O224</f>
        <v>#DIV/0!</v>
      </c>
      <c r="O224" s="1"/>
    </row>
    <row r="225" spans="2:15" x14ac:dyDescent="0.25">
      <c r="B225" t="s">
        <v>235</v>
      </c>
      <c r="C225" s="1" t="e">
        <f>(Gewinne!$O225-Gewinne!C225)/Gewinne!$O225</f>
        <v>#DIV/0!</v>
      </c>
      <c r="D225" s="1" t="e">
        <f>(Gewinne!$O225-Gewinne!D225)/Gewinne!$O225</f>
        <v>#DIV/0!</v>
      </c>
      <c r="E225" s="1" t="e">
        <f>(Gewinne!$O225-Gewinne!E225)/Gewinne!$O225</f>
        <v>#DIV/0!</v>
      </c>
      <c r="F225" s="1" t="e">
        <f>(Gewinne!$O225-Gewinne!F225)/Gewinne!$O225</f>
        <v>#DIV/0!</v>
      </c>
      <c r="G225" s="1" t="e">
        <f>(Gewinne!$O225-Gewinne!G225)/Gewinne!$O225</f>
        <v>#DIV/0!</v>
      </c>
      <c r="H225" s="1" t="e">
        <f>(Gewinne!$O225-Gewinne!H225)/Gewinne!$O225</f>
        <v>#DIV/0!</v>
      </c>
      <c r="I225" s="1" t="e">
        <f>(Gewinne!$O225-Gewinne!I225)/Gewinne!$O225</f>
        <v>#DIV/0!</v>
      </c>
      <c r="J225" s="1" t="e">
        <f>(Gewinne!$O225-Gewinne!J225)/Gewinne!$O225</f>
        <v>#DIV/0!</v>
      </c>
      <c r="K225" s="1" t="e">
        <f>(Gewinne!$O225-Gewinne!K225)/Gewinne!$O225</f>
        <v>#DIV/0!</v>
      </c>
      <c r="L225" s="1" t="e">
        <f>(Gewinne!$O225-Gewinne!L225)/Gewinne!$O225</f>
        <v>#DIV/0!</v>
      </c>
      <c r="M225" s="1" t="e">
        <f>(Gewinne!$O225-Gewinne!M225)/Gewinne!$O225</f>
        <v>#DIV/0!</v>
      </c>
      <c r="N225" s="1" t="e">
        <f>(Gewinne!$O225-Gewinne!N225)/Gewinne!$O225</f>
        <v>#DIV/0!</v>
      </c>
      <c r="O225" s="1"/>
    </row>
    <row r="226" spans="2:15" x14ac:dyDescent="0.25">
      <c r="B226" t="s">
        <v>236</v>
      </c>
      <c r="C226" s="1" t="e">
        <f>(Gewinne!$O226-Gewinne!C226)/Gewinne!$O226</f>
        <v>#DIV/0!</v>
      </c>
      <c r="D226" s="1" t="e">
        <f>(Gewinne!$O226-Gewinne!D226)/Gewinne!$O226</f>
        <v>#DIV/0!</v>
      </c>
      <c r="E226" s="1" t="e">
        <f>(Gewinne!$O226-Gewinne!E226)/Gewinne!$O226</f>
        <v>#DIV/0!</v>
      </c>
      <c r="F226" s="1" t="e">
        <f>(Gewinne!$O226-Gewinne!F226)/Gewinne!$O226</f>
        <v>#DIV/0!</v>
      </c>
      <c r="G226" s="1" t="e">
        <f>(Gewinne!$O226-Gewinne!G226)/Gewinne!$O226</f>
        <v>#DIV/0!</v>
      </c>
      <c r="H226" s="1" t="e">
        <f>(Gewinne!$O226-Gewinne!H226)/Gewinne!$O226</f>
        <v>#DIV/0!</v>
      </c>
      <c r="I226" s="1" t="e">
        <f>(Gewinne!$O226-Gewinne!I226)/Gewinne!$O226</f>
        <v>#DIV/0!</v>
      </c>
      <c r="J226" s="1" t="e">
        <f>(Gewinne!$O226-Gewinne!J226)/Gewinne!$O226</f>
        <v>#DIV/0!</v>
      </c>
      <c r="K226" s="1" t="e">
        <f>(Gewinne!$O226-Gewinne!K226)/Gewinne!$O226</f>
        <v>#DIV/0!</v>
      </c>
      <c r="L226" s="1" t="e">
        <f>(Gewinne!$O226-Gewinne!L226)/Gewinne!$O226</f>
        <v>#DIV/0!</v>
      </c>
      <c r="M226" s="1" t="e">
        <f>(Gewinne!$O226-Gewinne!M226)/Gewinne!$O226</f>
        <v>#DIV/0!</v>
      </c>
      <c r="N226" s="1" t="e">
        <f>(Gewinne!$O226-Gewinne!N226)/Gewinne!$O226</f>
        <v>#DIV/0!</v>
      </c>
      <c r="O226" s="1"/>
    </row>
    <row r="227" spans="2:15" x14ac:dyDescent="0.25">
      <c r="B227" t="s">
        <v>237</v>
      </c>
      <c r="C227" s="1" t="e">
        <f>(Gewinne!$O227-Gewinne!C227)/Gewinne!$O227</f>
        <v>#DIV/0!</v>
      </c>
      <c r="D227" s="1" t="e">
        <f>(Gewinne!$O227-Gewinne!D227)/Gewinne!$O227</f>
        <v>#DIV/0!</v>
      </c>
      <c r="E227" s="1" t="e">
        <f>(Gewinne!$O227-Gewinne!E227)/Gewinne!$O227</f>
        <v>#DIV/0!</v>
      </c>
      <c r="F227" s="1" t="e">
        <f>(Gewinne!$O227-Gewinne!F227)/Gewinne!$O227</f>
        <v>#DIV/0!</v>
      </c>
      <c r="G227" s="1" t="e">
        <f>(Gewinne!$O227-Gewinne!G227)/Gewinne!$O227</f>
        <v>#DIV/0!</v>
      </c>
      <c r="H227" s="1" t="e">
        <f>(Gewinne!$O227-Gewinne!H227)/Gewinne!$O227</f>
        <v>#DIV/0!</v>
      </c>
      <c r="I227" s="1" t="e">
        <f>(Gewinne!$O227-Gewinne!I227)/Gewinne!$O227</f>
        <v>#DIV/0!</v>
      </c>
      <c r="J227" s="1" t="e">
        <f>(Gewinne!$O227-Gewinne!J227)/Gewinne!$O227</f>
        <v>#DIV/0!</v>
      </c>
      <c r="K227" s="1" t="e">
        <f>(Gewinne!$O227-Gewinne!K227)/Gewinne!$O227</f>
        <v>#DIV/0!</v>
      </c>
      <c r="L227" s="1" t="e">
        <f>(Gewinne!$O227-Gewinne!L227)/Gewinne!$O227</f>
        <v>#DIV/0!</v>
      </c>
      <c r="M227" s="1" t="e">
        <f>(Gewinne!$O227-Gewinne!M227)/Gewinne!$O227</f>
        <v>#DIV/0!</v>
      </c>
      <c r="N227" s="1" t="e">
        <f>(Gewinne!$O227-Gewinne!N227)/Gewinne!$O227</f>
        <v>#DIV/0!</v>
      </c>
      <c r="O227" s="1"/>
    </row>
    <row r="228" spans="2:15" x14ac:dyDescent="0.25">
      <c r="B228" t="s">
        <v>238</v>
      </c>
      <c r="C228" s="1" t="e">
        <f>(Gewinne!$O228-Gewinne!C228)/Gewinne!$O228</f>
        <v>#DIV/0!</v>
      </c>
      <c r="D228" s="1" t="e">
        <f>(Gewinne!$O228-Gewinne!D228)/Gewinne!$O228</f>
        <v>#DIV/0!</v>
      </c>
      <c r="E228" s="1" t="e">
        <f>(Gewinne!$O228-Gewinne!E228)/Gewinne!$O228</f>
        <v>#DIV/0!</v>
      </c>
      <c r="F228" s="1" t="e">
        <f>(Gewinne!$O228-Gewinne!F228)/Gewinne!$O228</f>
        <v>#DIV/0!</v>
      </c>
      <c r="G228" s="1" t="e">
        <f>(Gewinne!$O228-Gewinne!G228)/Gewinne!$O228</f>
        <v>#DIV/0!</v>
      </c>
      <c r="H228" s="1" t="e">
        <f>(Gewinne!$O228-Gewinne!H228)/Gewinne!$O228</f>
        <v>#DIV/0!</v>
      </c>
      <c r="I228" s="1" t="e">
        <f>(Gewinne!$O228-Gewinne!I228)/Gewinne!$O228</f>
        <v>#DIV/0!</v>
      </c>
      <c r="J228" s="1" t="e">
        <f>(Gewinne!$O228-Gewinne!J228)/Gewinne!$O228</f>
        <v>#DIV/0!</v>
      </c>
      <c r="K228" s="1" t="e">
        <f>(Gewinne!$O228-Gewinne!K228)/Gewinne!$O228</f>
        <v>#DIV/0!</v>
      </c>
      <c r="L228" s="1" t="e">
        <f>(Gewinne!$O228-Gewinne!L228)/Gewinne!$O228</f>
        <v>#DIV/0!</v>
      </c>
      <c r="M228" s="1" t="e">
        <f>(Gewinne!$O228-Gewinne!M228)/Gewinne!$O228</f>
        <v>#DIV/0!</v>
      </c>
      <c r="N228" s="1" t="e">
        <f>(Gewinne!$O228-Gewinne!N228)/Gewinne!$O228</f>
        <v>#DIV/0!</v>
      </c>
      <c r="O228" s="1"/>
    </row>
    <row r="229" spans="2:15" x14ac:dyDescent="0.25">
      <c r="B229" t="s">
        <v>239</v>
      </c>
      <c r="C229" s="1" t="e">
        <f>(Gewinne!$O229-Gewinne!C229)/Gewinne!$O229</f>
        <v>#DIV/0!</v>
      </c>
      <c r="D229" s="1" t="e">
        <f>(Gewinne!$O229-Gewinne!D229)/Gewinne!$O229</f>
        <v>#DIV/0!</v>
      </c>
      <c r="E229" s="1" t="e">
        <f>(Gewinne!$O229-Gewinne!E229)/Gewinne!$O229</f>
        <v>#DIV/0!</v>
      </c>
      <c r="F229" s="1" t="e">
        <f>(Gewinne!$O229-Gewinne!F229)/Gewinne!$O229</f>
        <v>#DIV/0!</v>
      </c>
      <c r="G229" s="1" t="e">
        <f>(Gewinne!$O229-Gewinne!G229)/Gewinne!$O229</f>
        <v>#DIV/0!</v>
      </c>
      <c r="H229" s="1" t="e">
        <f>(Gewinne!$O229-Gewinne!H229)/Gewinne!$O229</f>
        <v>#DIV/0!</v>
      </c>
      <c r="I229" s="1" t="e">
        <f>(Gewinne!$O229-Gewinne!I229)/Gewinne!$O229</f>
        <v>#DIV/0!</v>
      </c>
      <c r="J229" s="1" t="e">
        <f>(Gewinne!$O229-Gewinne!J229)/Gewinne!$O229</f>
        <v>#DIV/0!</v>
      </c>
      <c r="K229" s="1" t="e">
        <f>(Gewinne!$O229-Gewinne!K229)/Gewinne!$O229</f>
        <v>#DIV/0!</v>
      </c>
      <c r="L229" s="1" t="e">
        <f>(Gewinne!$O229-Gewinne!L229)/Gewinne!$O229</f>
        <v>#DIV/0!</v>
      </c>
      <c r="M229" s="1" t="e">
        <f>(Gewinne!$O229-Gewinne!M229)/Gewinne!$O229</f>
        <v>#DIV/0!</v>
      </c>
      <c r="N229" s="1" t="e">
        <f>(Gewinne!$O229-Gewinne!N229)/Gewinne!$O229</f>
        <v>#DIV/0!</v>
      </c>
      <c r="O229" s="1"/>
    </row>
    <row r="230" spans="2:15" x14ac:dyDescent="0.25">
      <c r="B230" t="s">
        <v>240</v>
      </c>
      <c r="C230" s="1" t="e">
        <f>(Gewinne!$O230-Gewinne!C230)/Gewinne!$O230</f>
        <v>#DIV/0!</v>
      </c>
      <c r="D230" s="1" t="e">
        <f>(Gewinne!$O230-Gewinne!D230)/Gewinne!$O230</f>
        <v>#DIV/0!</v>
      </c>
      <c r="E230" s="1" t="e">
        <f>(Gewinne!$O230-Gewinne!E230)/Gewinne!$O230</f>
        <v>#DIV/0!</v>
      </c>
      <c r="F230" s="1" t="e">
        <f>(Gewinne!$O230-Gewinne!F230)/Gewinne!$O230</f>
        <v>#DIV/0!</v>
      </c>
      <c r="G230" s="1" t="e">
        <f>(Gewinne!$O230-Gewinne!G230)/Gewinne!$O230</f>
        <v>#DIV/0!</v>
      </c>
      <c r="H230" s="1" t="e">
        <f>(Gewinne!$O230-Gewinne!H230)/Gewinne!$O230</f>
        <v>#DIV/0!</v>
      </c>
      <c r="I230" s="1" t="e">
        <f>(Gewinne!$O230-Gewinne!I230)/Gewinne!$O230</f>
        <v>#DIV/0!</v>
      </c>
      <c r="J230" s="1" t="e">
        <f>(Gewinne!$O230-Gewinne!J230)/Gewinne!$O230</f>
        <v>#DIV/0!</v>
      </c>
      <c r="K230" s="1" t="e">
        <f>(Gewinne!$O230-Gewinne!K230)/Gewinne!$O230</f>
        <v>#DIV/0!</v>
      </c>
      <c r="L230" s="1" t="e">
        <f>(Gewinne!$O230-Gewinne!L230)/Gewinne!$O230</f>
        <v>#DIV/0!</v>
      </c>
      <c r="M230" s="1" t="e">
        <f>(Gewinne!$O230-Gewinne!M230)/Gewinne!$O230</f>
        <v>#DIV/0!</v>
      </c>
      <c r="N230" s="1" t="e">
        <f>(Gewinne!$O230-Gewinne!N230)/Gewinne!$O230</f>
        <v>#DIV/0!</v>
      </c>
      <c r="O230" s="1"/>
    </row>
    <row r="231" spans="2:15" x14ac:dyDescent="0.25">
      <c r="B231" t="s">
        <v>241</v>
      </c>
      <c r="C231" s="1" t="e">
        <f>(Gewinne!$O231-Gewinne!C231)/Gewinne!$O231</f>
        <v>#DIV/0!</v>
      </c>
      <c r="D231" s="1" t="e">
        <f>(Gewinne!$O231-Gewinne!D231)/Gewinne!$O231</f>
        <v>#DIV/0!</v>
      </c>
      <c r="E231" s="1" t="e">
        <f>(Gewinne!$O231-Gewinne!E231)/Gewinne!$O231</f>
        <v>#DIV/0!</v>
      </c>
      <c r="F231" s="1" t="e">
        <f>(Gewinne!$O231-Gewinne!F231)/Gewinne!$O231</f>
        <v>#DIV/0!</v>
      </c>
      <c r="G231" s="1" t="e">
        <f>(Gewinne!$O231-Gewinne!G231)/Gewinne!$O231</f>
        <v>#DIV/0!</v>
      </c>
      <c r="H231" s="1" t="e">
        <f>(Gewinne!$O231-Gewinne!H231)/Gewinne!$O231</f>
        <v>#DIV/0!</v>
      </c>
      <c r="I231" s="1" t="e">
        <f>(Gewinne!$O231-Gewinne!I231)/Gewinne!$O231</f>
        <v>#DIV/0!</v>
      </c>
      <c r="J231" s="1" t="e">
        <f>(Gewinne!$O231-Gewinne!J231)/Gewinne!$O231</f>
        <v>#DIV/0!</v>
      </c>
      <c r="K231" s="1" t="e">
        <f>(Gewinne!$O231-Gewinne!K231)/Gewinne!$O231</f>
        <v>#DIV/0!</v>
      </c>
      <c r="L231" s="1" t="e">
        <f>(Gewinne!$O231-Gewinne!L231)/Gewinne!$O231</f>
        <v>#DIV/0!</v>
      </c>
      <c r="M231" s="1" t="e">
        <f>(Gewinne!$O231-Gewinne!M231)/Gewinne!$O231</f>
        <v>#DIV/0!</v>
      </c>
      <c r="N231" s="1" t="e">
        <f>(Gewinne!$O231-Gewinne!N231)/Gewinne!$O231</f>
        <v>#DIV/0!</v>
      </c>
      <c r="O231" s="1"/>
    </row>
    <row r="232" spans="2:15" x14ac:dyDescent="0.25">
      <c r="B232" t="s">
        <v>242</v>
      </c>
      <c r="C232" s="1" t="e">
        <f>(Gewinne!$O232-Gewinne!C232)/Gewinne!$O232</f>
        <v>#DIV/0!</v>
      </c>
      <c r="D232" s="1" t="e">
        <f>(Gewinne!$O232-Gewinne!D232)/Gewinne!$O232</f>
        <v>#DIV/0!</v>
      </c>
      <c r="E232" s="1" t="e">
        <f>(Gewinne!$O232-Gewinne!E232)/Gewinne!$O232</f>
        <v>#DIV/0!</v>
      </c>
      <c r="F232" s="1" t="e">
        <f>(Gewinne!$O232-Gewinne!F232)/Gewinne!$O232</f>
        <v>#DIV/0!</v>
      </c>
      <c r="G232" s="1" t="e">
        <f>(Gewinne!$O232-Gewinne!G232)/Gewinne!$O232</f>
        <v>#DIV/0!</v>
      </c>
      <c r="H232" s="1" t="e">
        <f>(Gewinne!$O232-Gewinne!H232)/Gewinne!$O232</f>
        <v>#DIV/0!</v>
      </c>
      <c r="I232" s="1" t="e">
        <f>(Gewinne!$O232-Gewinne!I232)/Gewinne!$O232</f>
        <v>#DIV/0!</v>
      </c>
      <c r="J232" s="1" t="e">
        <f>(Gewinne!$O232-Gewinne!J232)/Gewinne!$O232</f>
        <v>#DIV/0!</v>
      </c>
      <c r="K232" s="1" t="e">
        <f>(Gewinne!$O232-Gewinne!K232)/Gewinne!$O232</f>
        <v>#DIV/0!</v>
      </c>
      <c r="L232" s="1" t="e">
        <f>(Gewinne!$O232-Gewinne!L232)/Gewinne!$O232</f>
        <v>#DIV/0!</v>
      </c>
      <c r="M232" s="1" t="e">
        <f>(Gewinne!$O232-Gewinne!M232)/Gewinne!$O232</f>
        <v>#DIV/0!</v>
      </c>
      <c r="N232" s="1" t="e">
        <f>(Gewinne!$O232-Gewinne!N232)/Gewinne!$O232</f>
        <v>#DIV/0!</v>
      </c>
      <c r="O232" s="1"/>
    </row>
    <row r="233" spans="2:15" x14ac:dyDescent="0.25">
      <c r="B233" t="s">
        <v>243</v>
      </c>
      <c r="C233" s="1" t="e">
        <f>(Gewinne!$O233-Gewinne!C233)/Gewinne!$O233</f>
        <v>#DIV/0!</v>
      </c>
      <c r="D233" s="1" t="e">
        <f>(Gewinne!$O233-Gewinne!D233)/Gewinne!$O233</f>
        <v>#DIV/0!</v>
      </c>
      <c r="E233" s="1" t="e">
        <f>(Gewinne!$O233-Gewinne!E233)/Gewinne!$O233</f>
        <v>#DIV/0!</v>
      </c>
      <c r="F233" s="1" t="e">
        <f>(Gewinne!$O233-Gewinne!F233)/Gewinne!$O233</f>
        <v>#DIV/0!</v>
      </c>
      <c r="G233" s="1" t="e">
        <f>(Gewinne!$O233-Gewinne!G233)/Gewinne!$O233</f>
        <v>#DIV/0!</v>
      </c>
      <c r="H233" s="1" t="e">
        <f>(Gewinne!$O233-Gewinne!H233)/Gewinne!$O233</f>
        <v>#DIV/0!</v>
      </c>
      <c r="I233" s="1" t="e">
        <f>(Gewinne!$O233-Gewinne!I233)/Gewinne!$O233</f>
        <v>#DIV/0!</v>
      </c>
      <c r="J233" s="1" t="e">
        <f>(Gewinne!$O233-Gewinne!J233)/Gewinne!$O233</f>
        <v>#DIV/0!</v>
      </c>
      <c r="K233" s="1" t="e">
        <f>(Gewinne!$O233-Gewinne!K233)/Gewinne!$O233</f>
        <v>#DIV/0!</v>
      </c>
      <c r="L233" s="1" t="e">
        <f>(Gewinne!$O233-Gewinne!L233)/Gewinne!$O233</f>
        <v>#DIV/0!</v>
      </c>
      <c r="M233" s="1" t="e">
        <f>(Gewinne!$O233-Gewinne!M233)/Gewinne!$O233</f>
        <v>#DIV/0!</v>
      </c>
      <c r="N233" s="1" t="e">
        <f>(Gewinne!$O233-Gewinne!N233)/Gewinne!$O233</f>
        <v>#DIV/0!</v>
      </c>
      <c r="O233" s="1"/>
    </row>
    <row r="234" spans="2:15" x14ac:dyDescent="0.25">
      <c r="B234" t="s">
        <v>244</v>
      </c>
      <c r="C234" s="1" t="e">
        <f>(Gewinne!$O234-Gewinne!C234)/Gewinne!$O234</f>
        <v>#DIV/0!</v>
      </c>
      <c r="D234" s="1" t="e">
        <f>(Gewinne!$O234-Gewinne!D234)/Gewinne!$O234</f>
        <v>#DIV/0!</v>
      </c>
      <c r="E234" s="1" t="e">
        <f>(Gewinne!$O234-Gewinne!E234)/Gewinne!$O234</f>
        <v>#DIV/0!</v>
      </c>
      <c r="F234" s="1" t="e">
        <f>(Gewinne!$O234-Gewinne!F234)/Gewinne!$O234</f>
        <v>#DIV/0!</v>
      </c>
      <c r="G234" s="1" t="e">
        <f>(Gewinne!$O234-Gewinne!G234)/Gewinne!$O234</f>
        <v>#DIV/0!</v>
      </c>
      <c r="H234" s="1" t="e">
        <f>(Gewinne!$O234-Gewinne!H234)/Gewinne!$O234</f>
        <v>#DIV/0!</v>
      </c>
      <c r="I234" s="1" t="e">
        <f>(Gewinne!$O234-Gewinne!I234)/Gewinne!$O234</f>
        <v>#DIV/0!</v>
      </c>
      <c r="J234" s="1" t="e">
        <f>(Gewinne!$O234-Gewinne!J234)/Gewinne!$O234</f>
        <v>#DIV/0!</v>
      </c>
      <c r="K234" s="1" t="e">
        <f>(Gewinne!$O234-Gewinne!K234)/Gewinne!$O234</f>
        <v>#DIV/0!</v>
      </c>
      <c r="L234" s="1" t="e">
        <f>(Gewinne!$O234-Gewinne!L234)/Gewinne!$O234</f>
        <v>#DIV/0!</v>
      </c>
      <c r="M234" s="1" t="e">
        <f>(Gewinne!$O234-Gewinne!M234)/Gewinne!$O234</f>
        <v>#DIV/0!</v>
      </c>
      <c r="N234" s="1" t="e">
        <f>(Gewinne!$O234-Gewinne!N234)/Gewinne!$O234</f>
        <v>#DIV/0!</v>
      </c>
      <c r="O234" s="1"/>
    </row>
    <row r="235" spans="2:15" x14ac:dyDescent="0.25">
      <c r="B235" t="s">
        <v>245</v>
      </c>
      <c r="C235" s="1">
        <f>(Gewinne!$O235-Gewinne!C235)/Gewinne!$O235</f>
        <v>1</v>
      </c>
      <c r="D235" s="1">
        <f>(Gewinne!$O235-Gewinne!D235)/Gewinne!$O235</f>
        <v>1</v>
      </c>
      <c r="E235" s="1">
        <f>(Gewinne!$O235-Gewinne!E235)/Gewinne!$O235</f>
        <v>-1.097139754123895E-2</v>
      </c>
      <c r="F235" s="1">
        <f>(Gewinne!$O235-Gewinne!F235)/Gewinne!$O235</f>
        <v>0.37752645662498818</v>
      </c>
      <c r="G235" s="1">
        <f>(Gewinne!$O235-Gewinne!G235)/Gewinne!$O235</f>
        <v>-0.26519622614221</v>
      </c>
      <c r="H235" s="1">
        <f>(Gewinne!$O235-Gewinne!H235)/Gewinne!$O235</f>
        <v>-0.20727157964413293</v>
      </c>
      <c r="I235" s="1">
        <f>(Gewinne!$O235-Gewinne!I235)/Gewinne!$O235</f>
        <v>-0.29380100188907515</v>
      </c>
      <c r="J235" s="1">
        <f>(Gewinne!$O235-Gewinne!J235)/Gewinne!$O235</f>
        <v>-0.27976204921058456</v>
      </c>
      <c r="K235" s="1">
        <f>(Gewinne!$O235-Gewinne!K235)/Gewinne!$O235</f>
        <v>-7.3130293017007034E-2</v>
      </c>
      <c r="L235" s="1">
        <f>(Gewinne!$O235-Gewinne!L235)/Gewinne!$O235</f>
        <v>-0.26941167704777957</v>
      </c>
      <c r="M235" s="1">
        <f>(Gewinne!$O235-Gewinne!M235)/Gewinne!$O235</f>
        <v>-0.27620530519032876</v>
      </c>
      <c r="N235" s="1">
        <f>(Gewinne!$O235-Gewinne!N235)/Gewinne!$O235</f>
        <v>-0.26449992920998472</v>
      </c>
      <c r="O235" s="1"/>
    </row>
    <row r="236" spans="2:15" x14ac:dyDescent="0.25">
      <c r="B236" t="s">
        <v>246</v>
      </c>
      <c r="C236" s="1">
        <f>(Gewinne!$O236-Gewinne!C236)/Gewinne!$O236</f>
        <v>1</v>
      </c>
      <c r="D236" s="1">
        <f>(Gewinne!$O236-Gewinne!D236)/Gewinne!$O236</f>
        <v>0.85834873316425431</v>
      </c>
      <c r="E236" s="1">
        <f>(Gewinne!$O236-Gewinne!E236)/Gewinne!$O236</f>
        <v>1.6026138853620898E-2</v>
      </c>
      <c r="F236" s="1">
        <f>(Gewinne!$O236-Gewinne!F236)/Gewinne!$O236</f>
        <v>0.23306717035507751</v>
      </c>
      <c r="G236" s="1">
        <f>(Gewinne!$O236-Gewinne!G236)/Gewinne!$O236</f>
        <v>-0.16618548873836267</v>
      </c>
      <c r="H236" s="1">
        <f>(Gewinne!$O236-Gewinne!H236)/Gewinne!$O236</f>
        <v>-0.12905184097257566</v>
      </c>
      <c r="I236" s="1">
        <f>(Gewinne!$O236-Gewinne!I236)/Gewinne!$O236</f>
        <v>-0.14892594049813523</v>
      </c>
      <c r="J236" s="1">
        <f>(Gewinne!$O236-Gewinne!J236)/Gewinne!$O236</f>
        <v>-0.15897730068266089</v>
      </c>
      <c r="K236" s="1">
        <f>(Gewinne!$O236-Gewinne!K236)/Gewinne!$O236</f>
        <v>4.5640629480175167E-3</v>
      </c>
      <c r="L236" s="1">
        <f>(Gewinne!$O236-Gewinne!L236)/Gewinne!$O236</f>
        <v>-0.12970176499115965</v>
      </c>
      <c r="M236" s="1">
        <f>(Gewinne!$O236-Gewinne!M236)/Gewinne!$O236</f>
        <v>-0.13185098532949721</v>
      </c>
      <c r="N236" s="1">
        <f>(Gewinne!$O236-Gewinne!N236)/Gewinne!$O236</f>
        <v>-0.12971661593341746</v>
      </c>
      <c r="O236" s="1"/>
    </row>
    <row r="237" spans="2:15" x14ac:dyDescent="0.25">
      <c r="B237" t="s">
        <v>247</v>
      </c>
      <c r="C237" s="1">
        <f>(Gewinne!$O237-Gewinne!C237)/Gewinne!$O237</f>
        <v>1</v>
      </c>
      <c r="D237" s="1">
        <f>(Gewinne!$O237-Gewinne!D237)/Gewinne!$O237</f>
        <v>1</v>
      </c>
      <c r="E237" s="1">
        <f>(Gewinne!$O237-Gewinne!E237)/Gewinne!$O237</f>
        <v>6.7045847424729341E-2</v>
      </c>
      <c r="F237" s="1">
        <f>(Gewinne!$O237-Gewinne!F237)/Gewinne!$O237</f>
        <v>0.51409446698246108</v>
      </c>
      <c r="G237" s="1">
        <f>(Gewinne!$O237-Gewinne!G237)/Gewinne!$O237</f>
        <v>-0.10672234822540845</v>
      </c>
      <c r="H237" s="1">
        <f>(Gewinne!$O237-Gewinne!H237)/Gewinne!$O237</f>
        <v>-0.1127565364150426</v>
      </c>
      <c r="I237" s="1">
        <f>(Gewinne!$O237-Gewinne!I237)/Gewinne!$O237</f>
        <v>-0.10229939047042255</v>
      </c>
      <c r="J237" s="1">
        <f>(Gewinne!$O237-Gewinne!J237)/Gewinne!$O237</f>
        <v>-9.9502917931381912E-2</v>
      </c>
      <c r="K237" s="1">
        <f>(Gewinne!$O237-Gewinne!K237)/Gewinne!$O237</f>
        <v>-3.4650733710308426E-2</v>
      </c>
      <c r="L237" s="1">
        <f>(Gewinne!$O237-Gewinne!L237)/Gewinne!$O237</f>
        <v>-6.6754971607972571E-2</v>
      </c>
      <c r="M237" s="1">
        <f>(Gewinne!$O237-Gewinne!M237)/Gewinne!$O237</f>
        <v>-0.1065615914028457</v>
      </c>
      <c r="N237" s="1">
        <f>(Gewinne!$O237-Gewinne!N237)/Gewinne!$O237</f>
        <v>-0.1083335786600567</v>
      </c>
      <c r="O237" s="1"/>
    </row>
    <row r="238" spans="2:15" x14ac:dyDescent="0.25">
      <c r="B238" t="s">
        <v>248</v>
      </c>
      <c r="C238" s="1">
        <f>(Gewinne!$O238-Gewinne!C238)/Gewinne!$O238</f>
        <v>0.91677779804270898</v>
      </c>
      <c r="D238" s="1">
        <f>(Gewinne!$O238-Gewinne!D238)/Gewinne!$O238</f>
        <v>0.85748091307156149</v>
      </c>
      <c r="E238" s="1">
        <f>(Gewinne!$O238-Gewinne!E238)/Gewinne!$O238</f>
        <v>0.16897613109978629</v>
      </c>
      <c r="F238" s="1">
        <f>(Gewinne!$O238-Gewinne!F238)/Gewinne!$O238</f>
        <v>0.46642161119735198</v>
      </c>
      <c r="G238" s="1">
        <f>(Gewinne!$O238-Gewinne!G238)/Gewinne!$O238</f>
        <v>-0.31056078058638725</v>
      </c>
      <c r="H238" s="1">
        <f>(Gewinne!$O238-Gewinne!H238)/Gewinne!$O238</f>
        <v>-0.29423713543006147</v>
      </c>
      <c r="I238" s="1">
        <f>(Gewinne!$O238-Gewinne!I238)/Gewinne!$O238</f>
        <v>-0.28009392390507443</v>
      </c>
      <c r="J238" s="1">
        <f>(Gewinne!$O238-Gewinne!J238)/Gewinne!$O238</f>
        <v>-0.31056078058638725</v>
      </c>
      <c r="K238" s="1">
        <f>(Gewinne!$O238-Gewinne!K238)/Gewinne!$O238</f>
        <v>3.3997582905896981E-2</v>
      </c>
      <c r="L238" s="1">
        <f>(Gewinne!$O238-Gewinne!L238)/Gewinne!$O238</f>
        <v>-0.28826791681344766</v>
      </c>
      <c r="M238" s="1">
        <f>(Gewinne!$O238-Gewinne!M238)/Gewinne!$O238</f>
        <v>-0.29776786165464547</v>
      </c>
      <c r="N238" s="1">
        <f>(Gewinne!$O238-Gewinne!N238)/Gewinne!$O238</f>
        <v>-0.3062964742758067</v>
      </c>
      <c r="O238" s="1"/>
    </row>
    <row r="239" spans="2:15" x14ac:dyDescent="0.25">
      <c r="B239" t="s">
        <v>249</v>
      </c>
      <c r="C239" s="1">
        <f>(Gewinne!$O239-Gewinne!C239)/Gewinne!$O239</f>
        <v>1</v>
      </c>
      <c r="D239" s="1">
        <f>(Gewinne!$O239-Gewinne!D239)/Gewinne!$O239</f>
        <v>0.95340030410800214</v>
      </c>
      <c r="E239" s="1">
        <f>(Gewinne!$O239-Gewinne!E239)/Gewinne!$O239</f>
        <v>-8.8752635371085173E-2</v>
      </c>
      <c r="F239" s="1">
        <f>(Gewinne!$O239-Gewinne!F239)/Gewinne!$O239</f>
        <v>0.31431964065709223</v>
      </c>
      <c r="G239" s="1">
        <f>(Gewinne!$O239-Gewinne!G239)/Gewinne!$O239</f>
        <v>-0.14950707461751944</v>
      </c>
      <c r="H239" s="1">
        <f>(Gewinne!$O239-Gewinne!H239)/Gewinne!$O239</f>
        <v>-0.11729815231013767</v>
      </c>
      <c r="I239" s="1">
        <f>(Gewinne!$O239-Gewinne!I239)/Gewinne!$O239</f>
        <v>-0.15240398591070872</v>
      </c>
      <c r="J239" s="1">
        <f>(Gewinne!$O239-Gewinne!J239)/Gewinne!$O239</f>
        <v>-0.15134712958441196</v>
      </c>
      <c r="K239" s="1">
        <f>(Gewinne!$O239-Gewinne!K239)/Gewinne!$O239</f>
        <v>1.7599067993018334E-3</v>
      </c>
      <c r="L239" s="1">
        <f>(Gewinne!$O239-Gewinne!L239)/Gewinne!$O239</f>
        <v>-0.15512548565911422</v>
      </c>
      <c r="M239" s="1">
        <f>(Gewinne!$O239-Gewinne!M239)/Gewinne!$O239</f>
        <v>-0.14688383189603044</v>
      </c>
      <c r="N239" s="1">
        <f>(Gewinne!$O239-Gewinne!N239)/Gewinne!$O239</f>
        <v>-0.13879648716868115</v>
      </c>
      <c r="O239" s="1"/>
    </row>
    <row r="240" spans="2:15" x14ac:dyDescent="0.25">
      <c r="B240" t="s">
        <v>250</v>
      </c>
      <c r="C240" s="1">
        <f>(Gewinne!$O240-Gewinne!C240)/Gewinne!$O240</f>
        <v>1</v>
      </c>
      <c r="D240" s="1">
        <f>(Gewinne!$O240-Gewinne!D240)/Gewinne!$O240</f>
        <v>1</v>
      </c>
      <c r="E240" s="1">
        <f>(Gewinne!$O240-Gewinne!E240)/Gewinne!$O240</f>
        <v>5.0504745650372773E-2</v>
      </c>
      <c r="F240" s="1">
        <f>(Gewinne!$O240-Gewinne!F240)/Gewinne!$O240</f>
        <v>0.25333513835956922</v>
      </c>
      <c r="G240" s="1">
        <f>(Gewinne!$O240-Gewinne!G240)/Gewinne!$O240</f>
        <v>-0.14436619718309859</v>
      </c>
      <c r="H240" s="1">
        <f>(Gewinne!$O240-Gewinne!H240)/Gewinne!$O240</f>
        <v>-0.12525991714995866</v>
      </c>
      <c r="I240" s="1">
        <f>(Gewinne!$O240-Gewinne!I240)/Gewinne!$O240</f>
        <v>-0.15657393537696776</v>
      </c>
      <c r="J240" s="1">
        <f>(Gewinne!$O240-Gewinne!J240)/Gewinne!$O240</f>
        <v>-0.15328946478873232</v>
      </c>
      <c r="K240" s="1">
        <f>(Gewinne!$O240-Gewinne!K240)/Gewinne!$O240</f>
        <v>-6.6322518641259431E-3</v>
      </c>
      <c r="L240" s="1">
        <f>(Gewinne!$O240-Gewinne!L240)/Gewinne!$O240</f>
        <v>-0.15104072245236133</v>
      </c>
      <c r="M240" s="1">
        <f>(Gewinne!$O240-Gewinne!M240)/Gewinne!$O240</f>
        <v>-0.1749699420049711</v>
      </c>
      <c r="N240" s="1">
        <f>(Gewinne!$O240-Gewinne!N240)/Gewinne!$O240</f>
        <v>-0.16502793703396859</v>
      </c>
      <c r="O240" s="1"/>
    </row>
    <row r="241" spans="2:15" x14ac:dyDescent="0.25">
      <c r="B241" t="s">
        <v>251</v>
      </c>
      <c r="C241" s="1">
        <f>(Gewinne!$O241-Gewinne!C241)/Gewinne!$O241</f>
        <v>1</v>
      </c>
      <c r="D241" s="1">
        <f>(Gewinne!$O241-Gewinne!D241)/Gewinne!$O241</f>
        <v>1</v>
      </c>
      <c r="E241" s="1">
        <f>(Gewinne!$O241-Gewinne!E241)/Gewinne!$O241</f>
        <v>0.32237473996876798</v>
      </c>
      <c r="F241" s="1">
        <f>(Gewinne!$O241-Gewinne!F241)/Gewinne!$O241</f>
        <v>1</v>
      </c>
      <c r="G241" s="1">
        <f>(Gewinne!$O241-Gewinne!G241)/Gewinne!$O241</f>
        <v>-0.10876110050095081</v>
      </c>
      <c r="H241" s="1">
        <f>(Gewinne!$O241-Gewinne!H241)/Gewinne!$O241</f>
        <v>-4.2808697891718248E-2</v>
      </c>
      <c r="I241" s="1">
        <f>(Gewinne!$O241-Gewinne!I241)/Gewinne!$O241</f>
        <v>-8.299844670289841E-2</v>
      </c>
      <c r="J241" s="1">
        <f>(Gewinne!$O241-Gewinne!J241)/Gewinne!$O241</f>
        <v>-0.15735760768670112</v>
      </c>
      <c r="K241" s="1">
        <f>(Gewinne!$O241-Gewinne!K241)/Gewinne!$O241</f>
        <v>0.14069451101201713</v>
      </c>
      <c r="L241" s="1">
        <f>(Gewinne!$O241-Gewinne!L241)/Gewinne!$O241</f>
        <v>-0.13159495388864872</v>
      </c>
      <c r="M241" s="1">
        <f>(Gewinne!$O241-Gewinne!M241)/Gewinne!$O241</f>
        <v>-0.16082878677139756</v>
      </c>
      <c r="N241" s="1">
        <f>(Gewinne!$O241-Gewinne!N241)/Gewinne!$O241</f>
        <v>-0.13783900801921511</v>
      </c>
      <c r="O241" s="1"/>
    </row>
    <row r="242" spans="2:15" x14ac:dyDescent="0.25">
      <c r="B242" t="s">
        <v>252</v>
      </c>
      <c r="C242" s="1">
        <f>(Gewinne!$O242-Gewinne!C242)/Gewinne!$O242</f>
        <v>1</v>
      </c>
      <c r="D242" s="1">
        <f>(Gewinne!$O242-Gewinne!D242)/Gewinne!$O242</f>
        <v>1</v>
      </c>
      <c r="E242" s="1">
        <f>(Gewinne!$O242-Gewinne!E242)/Gewinne!$O242</f>
        <v>4.4772300759036668E-2</v>
      </c>
      <c r="F242" s="1">
        <f>(Gewinne!$O242-Gewinne!F242)/Gewinne!$O242</f>
        <v>0.32729474762044725</v>
      </c>
      <c r="G242" s="1">
        <f>(Gewinne!$O242-Gewinne!G242)/Gewinne!$O242</f>
        <v>-0.16368349027934354</v>
      </c>
      <c r="H242" s="1">
        <f>(Gewinne!$O242-Gewinne!H242)/Gewinne!$O242</f>
        <v>-0.15913276686033176</v>
      </c>
      <c r="I242" s="1">
        <f>(Gewinne!$O242-Gewinne!I242)/Gewinne!$O242</f>
        <v>-0.13952854838523984</v>
      </c>
      <c r="J242" s="1">
        <f>(Gewinne!$O242-Gewinne!J242)/Gewinne!$O242</f>
        <v>-0.20346218675974001</v>
      </c>
      <c r="K242" s="1">
        <f>(Gewinne!$O242-Gewinne!K242)/Gewinne!$O242</f>
        <v>-3.0831309861773289E-2</v>
      </c>
      <c r="L242" s="1">
        <f>(Gewinne!$O242-Gewinne!L242)/Gewinne!$O242</f>
        <v>-0.19778067389089765</v>
      </c>
      <c r="M242" s="1">
        <f>(Gewinne!$O242-Gewinne!M242)/Gewinne!$O242</f>
        <v>-0.19294968551207692</v>
      </c>
      <c r="N242" s="1">
        <f>(Gewinne!$O242-Gewinne!N242)/Gewinne!$O242</f>
        <v>-0.16239878553976375</v>
      </c>
      <c r="O242" s="1"/>
    </row>
    <row r="243" spans="2:15" x14ac:dyDescent="0.25">
      <c r="B243" t="s">
        <v>253</v>
      </c>
      <c r="C243" s="1">
        <f>(Gewinne!$O243-Gewinne!C243)/Gewinne!$O243</f>
        <v>1</v>
      </c>
      <c r="D243" s="1">
        <f>(Gewinne!$O243-Gewinne!D243)/Gewinne!$O243</f>
        <v>1</v>
      </c>
      <c r="E243" s="1">
        <f>(Gewinne!$O243-Gewinne!E243)/Gewinne!$O243</f>
        <v>8.5623389826762538E-3</v>
      </c>
      <c r="F243" s="1">
        <f>(Gewinne!$O243-Gewinne!F243)/Gewinne!$O243</f>
        <v>0.58153044345790172</v>
      </c>
      <c r="G243" s="1">
        <f>(Gewinne!$O243-Gewinne!G243)/Gewinne!$O243</f>
        <v>-0.17662038549782536</v>
      </c>
      <c r="H243" s="1">
        <f>(Gewinne!$O243-Gewinne!H243)/Gewinne!$O243</f>
        <v>-0.17915956188579141</v>
      </c>
      <c r="I243" s="1">
        <f>(Gewinne!$O243-Gewinne!I243)/Gewinne!$O243</f>
        <v>-0.19409936714521964</v>
      </c>
      <c r="J243" s="1">
        <f>(Gewinne!$O243-Gewinne!J243)/Gewinne!$O243</f>
        <v>-0.20041778280829797</v>
      </c>
      <c r="K243" s="1">
        <f>(Gewinne!$O243-Gewinne!K243)/Gewinne!$O243</f>
        <v>-4.4937517005631929E-2</v>
      </c>
      <c r="L243" s="1">
        <f>(Gewinne!$O243-Gewinne!L243)/Gewinne!$O243</f>
        <v>-0.1967492639062286</v>
      </c>
      <c r="M243" s="1">
        <f>(Gewinne!$O243-Gewinne!M243)/Gewinne!$O243</f>
        <v>-0.16084649079266197</v>
      </c>
      <c r="N243" s="1">
        <f>(Gewinne!$O243-Gewinne!N243)/Gewinne!$O243</f>
        <v>-0.19801885021059201</v>
      </c>
      <c r="O243" s="1"/>
    </row>
    <row r="244" spans="2:15" x14ac:dyDescent="0.25">
      <c r="B244" t="s">
        <v>254</v>
      </c>
      <c r="C244" s="1">
        <f>(Gewinne!$O244-Gewinne!C244)/Gewinne!$O244</f>
        <v>1</v>
      </c>
      <c r="D244" s="1">
        <f>(Gewinne!$O244-Gewinne!D244)/Gewinne!$O244</f>
        <v>1</v>
      </c>
      <c r="E244" s="1">
        <f>(Gewinne!$O244-Gewinne!E244)/Gewinne!$O244</f>
        <v>0.14209180807865426</v>
      </c>
      <c r="F244" s="1">
        <f>(Gewinne!$O244-Gewinne!F244)/Gewinne!$O244</f>
        <v>0.2925243612865065</v>
      </c>
      <c r="G244" s="1">
        <f>(Gewinne!$O244-Gewinne!G244)/Gewinne!$O244</f>
        <v>-0.26034974409624267</v>
      </c>
      <c r="H244" s="1">
        <f>(Gewinne!$O244-Gewinne!H244)/Gewinne!$O244</f>
        <v>-0.20484513533621188</v>
      </c>
      <c r="I244" s="1">
        <f>(Gewinne!$O244-Gewinne!I244)/Gewinne!$O244</f>
        <v>-0.26034974409624267</v>
      </c>
      <c r="J244" s="1">
        <f>(Gewinne!$O244-Gewinne!J244)/Gewinne!$O244</f>
        <v>-0.2606303367862316</v>
      </c>
      <c r="K244" s="1">
        <f>(Gewinne!$O244-Gewinne!K244)/Gewinne!$O244</f>
        <v>2.574028161841509E-2</v>
      </c>
      <c r="L244" s="1">
        <f>(Gewinne!$O244-Gewinne!L244)/Gewinne!$O244</f>
        <v>-0.20725837919534365</v>
      </c>
      <c r="M244" s="1">
        <f>(Gewinne!$O244-Gewinne!M244)/Gewinne!$O244</f>
        <v>-0.2276503235904212</v>
      </c>
      <c r="N244" s="1">
        <f>(Gewinne!$O244-Gewinne!N244)/Gewinne!$O244</f>
        <v>-0.20271248416706902</v>
      </c>
      <c r="O244" s="1"/>
    </row>
    <row r="245" spans="2:15" x14ac:dyDescent="0.25">
      <c r="B245" t="s">
        <v>255</v>
      </c>
      <c r="C245" s="1">
        <f>(Gewinne!$O245-Gewinne!C245)/Gewinne!$O245</f>
        <v>-10.583333333333334</v>
      </c>
      <c r="D245" s="1">
        <f>(Gewinne!$O245-Gewinne!D245)/Gewinne!$O245</f>
        <v>-3.17</v>
      </c>
      <c r="E245" s="1">
        <f>(Gewinne!$O245-Gewinne!E245)/Gewinne!$O245</f>
        <v>-9.4166666666666661</v>
      </c>
      <c r="F245" s="1">
        <f>(Gewinne!$O245-Gewinne!F245)/Gewinne!$O245</f>
        <v>-10.583333333333334</v>
      </c>
      <c r="G245" s="1">
        <f>(Gewinne!$O245-Gewinne!G245)/Gewinne!$O245</f>
        <v>-10.583333333333334</v>
      </c>
      <c r="H245" s="1">
        <f>(Gewinne!$O245-Gewinne!H245)/Gewinne!$O245</f>
        <v>-10.333333333333334</v>
      </c>
      <c r="I245" s="1">
        <f>(Gewinne!$O245-Gewinne!I245)/Gewinne!$O245</f>
        <v>-10.583333333333334</v>
      </c>
      <c r="J245" s="1">
        <f>(Gewinne!$O245-Gewinne!J245)/Gewinne!$O245</f>
        <v>-10.583333333333334</v>
      </c>
      <c r="K245" s="1">
        <f>(Gewinne!$O245-Gewinne!K245)/Gewinne!$O245</f>
        <v>0</v>
      </c>
      <c r="L245" s="1">
        <f>(Gewinne!$O245-Gewinne!L245)/Gewinne!$O245</f>
        <v>-10.583333333333334</v>
      </c>
      <c r="M245" s="1">
        <f>(Gewinne!$O245-Gewinne!M245)/Gewinne!$O245</f>
        <v>-10.583333333333334</v>
      </c>
      <c r="N245" s="1">
        <f>(Gewinne!$O245-Gewinne!N245)/Gewinne!$O245</f>
        <v>-10.583333333333334</v>
      </c>
      <c r="O245" s="1"/>
    </row>
    <row r="246" spans="2:15" x14ac:dyDescent="0.25">
      <c r="B246" t="s">
        <v>256</v>
      </c>
      <c r="C246" s="1" t="e">
        <f>(Gewinne!$O246-Gewinne!C246)/Gewinne!$O246</f>
        <v>#DIV/0!</v>
      </c>
      <c r="D246" s="1" t="e">
        <f>(Gewinne!$O246-Gewinne!D246)/Gewinne!$O246</f>
        <v>#DIV/0!</v>
      </c>
      <c r="E246" s="1" t="e">
        <f>(Gewinne!$O246-Gewinne!E246)/Gewinne!$O246</f>
        <v>#DIV/0!</v>
      </c>
      <c r="F246" s="1" t="e">
        <f>(Gewinne!$O246-Gewinne!F246)/Gewinne!$O246</f>
        <v>#DIV/0!</v>
      </c>
      <c r="G246" s="1" t="e">
        <f>(Gewinne!$O246-Gewinne!G246)/Gewinne!$O246</f>
        <v>#DIV/0!</v>
      </c>
      <c r="H246" s="1" t="e">
        <f>(Gewinne!$O246-Gewinne!H246)/Gewinne!$O246</f>
        <v>#DIV/0!</v>
      </c>
      <c r="I246" s="1" t="e">
        <f>(Gewinne!$O246-Gewinne!I246)/Gewinne!$O246</f>
        <v>#DIV/0!</v>
      </c>
      <c r="J246" s="1" t="e">
        <f>(Gewinne!$O246-Gewinne!J246)/Gewinne!$O246</f>
        <v>#DIV/0!</v>
      </c>
      <c r="K246" s="1" t="e">
        <f>(Gewinne!$O246-Gewinne!K246)/Gewinne!$O246</f>
        <v>#DIV/0!</v>
      </c>
      <c r="L246" s="1" t="e">
        <f>(Gewinne!$O246-Gewinne!L246)/Gewinne!$O246</f>
        <v>#DIV/0!</v>
      </c>
      <c r="M246" s="1" t="e">
        <f>(Gewinne!$O246-Gewinne!M246)/Gewinne!$O246</f>
        <v>#DIV/0!</v>
      </c>
      <c r="N246" s="1" t="e">
        <f>(Gewinne!$O246-Gewinne!N246)/Gewinne!$O246</f>
        <v>#DIV/0!</v>
      </c>
      <c r="O246" s="1"/>
    </row>
    <row r="247" spans="2:15" x14ac:dyDescent="0.25">
      <c r="B247" t="s">
        <v>257</v>
      </c>
      <c r="C247" s="1">
        <f>(Gewinne!$O247-Gewinne!C247)/Gewinne!$O247</f>
        <v>-5.7852035617016373</v>
      </c>
      <c r="D247" s="1">
        <f>(Gewinne!$O247-Gewinne!D247)/Gewinne!$O247</f>
        <v>-2.3303826772412868</v>
      </c>
      <c r="E247" s="1">
        <f>(Gewinne!$O247-Gewinne!E247)/Gewinne!$O247</f>
        <v>-4.4249669042992572</v>
      </c>
      <c r="F247" s="1">
        <f>(Gewinne!$O247-Gewinne!F247)/Gewinne!$O247</f>
        <v>1</v>
      </c>
      <c r="G247" s="1">
        <f>(Gewinne!$O247-Gewinne!G247)/Gewinne!$O247</f>
        <v>-5.6834778449536358</v>
      </c>
      <c r="H247" s="1">
        <f>(Gewinne!$O247-Gewinne!H247)/Gewinne!$O247</f>
        <v>-5.1748609594019968</v>
      </c>
      <c r="I247" s="1">
        <f>(Gewinne!$O247-Gewinne!I247)/Gewinne!$O247</f>
        <v>-5.6834778449536358</v>
      </c>
      <c r="J247" s="1">
        <f>(Gewinne!$O247-Gewinne!J247)/Gewinne!$O247</f>
        <v>-5.5308927792881439</v>
      </c>
      <c r="K247" s="1">
        <f>(Gewinne!$O247-Gewinne!K247)/Gewinne!$O247</f>
        <v>0</v>
      </c>
      <c r="L247" s="1">
        <f>(Gewinne!$O247-Gewinne!L247)/Gewinne!$O247</f>
        <v>-5.6834778449536358</v>
      </c>
      <c r="M247" s="1">
        <f>(Gewinne!$O247-Gewinne!M247)/Gewinne!$O247</f>
        <v>-5.7852012220639635</v>
      </c>
      <c r="N247" s="1">
        <f>(Gewinne!$O247-Gewinne!N247)/Gewinne!$O247</f>
        <v>-5.6326161563984716</v>
      </c>
      <c r="O247" s="1"/>
    </row>
    <row r="248" spans="2:15" x14ac:dyDescent="0.25">
      <c r="B248" t="s">
        <v>258</v>
      </c>
      <c r="C248" s="1">
        <f>(Gewinne!$O248-Gewinne!C248)/Gewinne!$O248</f>
        <v>-1.9546024570083138</v>
      </c>
      <c r="D248" s="1">
        <f>(Gewinne!$O248-Gewinne!D248)/Gewinne!$O248</f>
        <v>1</v>
      </c>
      <c r="E248" s="1">
        <f>(Gewinne!$O248-Gewinne!E248)/Gewinne!$O248</f>
        <v>-1.5128381369832606</v>
      </c>
      <c r="F248" s="1">
        <f>(Gewinne!$O248-Gewinne!F248)/Gewinne!$O248</f>
        <v>-1.6142556688341487</v>
      </c>
      <c r="G248" s="1">
        <f>(Gewinne!$O248-Gewinne!G248)/Gewinne!$O248</f>
        <v>-2.1722881893448163</v>
      </c>
      <c r="H248" s="1">
        <f>(Gewinne!$O248-Gewinne!H248)/Gewinne!$O248</f>
        <v>-1.978350157084666</v>
      </c>
      <c r="I248" s="1">
        <f>(Gewinne!$O248-Gewinne!I248)/Gewinne!$O248</f>
        <v>-2.1845002273515117</v>
      </c>
      <c r="J248" s="1">
        <f>(Gewinne!$O248-Gewinne!J248)/Gewinne!$O248</f>
        <v>-2.1600761513381208</v>
      </c>
      <c r="K248" s="1">
        <f>(Gewinne!$O248-Gewinne!K248)/Gewinne!$O248</f>
        <v>0.13294530152462167</v>
      </c>
      <c r="L248" s="1">
        <f>(Gewinne!$O248-Gewinne!L248)/Gewinne!$O248</f>
        <v>-2.1004705371516206</v>
      </c>
      <c r="M248" s="1">
        <f>(Gewinne!$O248-Gewinne!M248)/Gewinne!$O248</f>
        <v>-2.1600761513381208</v>
      </c>
      <c r="N248" s="1">
        <f>(Gewinne!$O248-Gewinne!N248)/Gewinne!$O248</f>
        <v>-2.123440037318034</v>
      </c>
      <c r="O248" s="1"/>
    </row>
    <row r="249" spans="2:15" x14ac:dyDescent="0.25">
      <c r="B249" t="s">
        <v>259</v>
      </c>
      <c r="C249" s="1">
        <f>(Gewinne!$O249-Gewinne!C249)/Gewinne!$O249</f>
        <v>-1.0939390043395389</v>
      </c>
      <c r="D249" s="1">
        <f>(Gewinne!$O249-Gewinne!D249)/Gewinne!$O249</f>
        <v>0.69765504355497654</v>
      </c>
      <c r="E249" s="1">
        <f>(Gewinne!$O249-Gewinne!E249)/Gewinne!$O249</f>
        <v>-0.71521165496075978</v>
      </c>
      <c r="F249" s="1">
        <f>(Gewinne!$O249-Gewinne!F249)/Gewinne!$O249</f>
        <v>-0.79845499194305047</v>
      </c>
      <c r="G249" s="1">
        <f>(Gewinne!$O249-Gewinne!G249)/Gewinne!$O249</f>
        <v>-0.98789971135777632</v>
      </c>
      <c r="H249" s="1">
        <f>(Gewinne!$O249-Gewinne!H249)/Gewinne!$O249</f>
        <v>-0.92712832163350367</v>
      </c>
      <c r="I249" s="1">
        <f>(Gewinne!$O249-Gewinne!I249)/Gewinne!$O249</f>
        <v>-1.0122082672474855</v>
      </c>
      <c r="J249" s="1">
        <f>(Gewinne!$O249-Gewinne!J249)/Gewinne!$O249</f>
        <v>-0.9149740436886491</v>
      </c>
      <c r="K249" s="1">
        <f>(Gewinne!$O249-Gewinne!K249)/Gewinne!$O249</f>
        <v>0</v>
      </c>
      <c r="L249" s="1">
        <f>(Gewinne!$O249-Gewinne!L249)/Gewinne!$O249</f>
        <v>-1.0817847020861286</v>
      </c>
      <c r="M249" s="1">
        <f>(Gewinne!$O249-Gewinne!M249)/Gewinne!$O249</f>
        <v>-1.0000539893026308</v>
      </c>
      <c r="N249" s="1">
        <f>(Gewinne!$O249-Gewinne!N249)/Gewinne!$O249</f>
        <v>-1.0000539893026308</v>
      </c>
      <c r="O249" s="1"/>
    </row>
    <row r="250" spans="2:15" x14ac:dyDescent="0.25">
      <c r="B250" t="s">
        <v>260</v>
      </c>
      <c r="C250" s="1">
        <f>(Gewinne!$O250-Gewinne!C250)/Gewinne!$O250</f>
        <v>-1.7118644067796611</v>
      </c>
      <c r="D250" s="1">
        <f>(Gewinne!$O250-Gewinne!D250)/Gewinne!$O250</f>
        <v>0.48474576271186443</v>
      </c>
      <c r="E250" s="1">
        <f>(Gewinne!$O250-Gewinne!E250)/Gewinne!$O250</f>
        <v>-1.1254236271186442</v>
      </c>
      <c r="F250" s="1">
        <f>(Gewinne!$O250-Gewinne!F250)/Gewinne!$O250</f>
        <v>-1.7118644067796611</v>
      </c>
      <c r="G250" s="1">
        <f>(Gewinne!$O250-Gewinne!G250)/Gewinne!$O250</f>
        <v>-1.7118644067796611</v>
      </c>
      <c r="H250" s="1">
        <f>(Gewinne!$O250-Gewinne!H250)/Gewinne!$O250</f>
        <v>-1.6169490508474575</v>
      </c>
      <c r="I250" s="1">
        <f>(Gewinne!$O250-Gewinne!I250)/Gewinne!$O250</f>
        <v>-1.7118644067796611</v>
      </c>
      <c r="J250" s="1">
        <f>(Gewinne!$O250-Gewinne!J250)/Gewinne!$O250</f>
        <v>-1.7118644067796611</v>
      </c>
      <c r="K250" s="1">
        <f>(Gewinne!$O250-Gewinne!K250)/Gewinne!$O250</f>
        <v>0</v>
      </c>
      <c r="L250" s="1">
        <f>(Gewinne!$O250-Gewinne!L250)/Gewinne!$O250</f>
        <v>-1.7118644067796611</v>
      </c>
      <c r="M250" s="1">
        <f>(Gewinne!$O250-Gewinne!M250)/Gewinne!$O250</f>
        <v>-1.7118644067796611</v>
      </c>
      <c r="N250" s="1">
        <f>(Gewinne!$O250-Gewinne!N250)/Gewinne!$O250</f>
        <v>-1.7118644067796611</v>
      </c>
      <c r="O250" s="1"/>
    </row>
    <row r="251" spans="2:15" x14ac:dyDescent="0.25">
      <c r="B251" t="s">
        <v>261</v>
      </c>
      <c r="C251" s="1">
        <f>(Gewinne!$O251-Gewinne!C251)/Gewinne!$O251</f>
        <v>-4.3291129461266591</v>
      </c>
      <c r="D251" s="1">
        <f>(Gewinne!$O251-Gewinne!D251)/Gewinne!$O251</f>
        <v>-0.71870810059764156</v>
      </c>
      <c r="E251" s="1">
        <f>(Gewinne!$O251-Gewinne!E251)/Gewinne!$O251</f>
        <v>-3.3298180362904688</v>
      </c>
      <c r="F251" s="1">
        <f>(Gewinne!$O251-Gewinne!F251)/Gewinne!$O251</f>
        <v>-3.2939530610223802</v>
      </c>
      <c r="G251" s="1">
        <f>(Gewinne!$O251-Gewinne!G251)/Gewinne!$O251</f>
        <v>-4.1350219752297015</v>
      </c>
      <c r="H251" s="1">
        <f>(Gewinne!$O251-Gewinne!H251)/Gewinne!$O251</f>
        <v>-4.031646425848959</v>
      </c>
      <c r="I251" s="1">
        <f>(Gewinne!$O251-Gewinne!I251)/Gewinne!$O251</f>
        <v>-4.1350219752297015</v>
      </c>
      <c r="J251" s="1">
        <f>(Gewinne!$O251-Gewinne!J251)/Gewinne!$O251</f>
        <v>-4.1350219752297015</v>
      </c>
      <c r="K251" s="1">
        <f>(Gewinne!$O251-Gewinne!K251)/Gewinne!$O251</f>
        <v>0</v>
      </c>
      <c r="L251" s="1">
        <f>(Gewinne!$O251-Gewinne!L251)/Gewinne!$O251</f>
        <v>-4.1350219752297015</v>
      </c>
      <c r="M251" s="1">
        <f>(Gewinne!$O251-Gewinne!M251)/Gewinne!$O251</f>
        <v>-4.031646425848959</v>
      </c>
      <c r="N251" s="1">
        <f>(Gewinne!$O251-Gewinne!N251)/Gewinne!$O251</f>
        <v>-4.1912809477966571</v>
      </c>
      <c r="O251" s="1"/>
    </row>
    <row r="252" spans="2:15" x14ac:dyDescent="0.25">
      <c r="B252" t="s">
        <v>262</v>
      </c>
      <c r="C252" s="1" t="e">
        <f>(Gewinne!$O252-Gewinne!C252)/Gewinne!$O252</f>
        <v>#DIV/0!</v>
      </c>
      <c r="D252" s="1" t="e">
        <f>(Gewinne!$O252-Gewinne!D252)/Gewinne!$O252</f>
        <v>#DIV/0!</v>
      </c>
      <c r="E252" s="1" t="e">
        <f>(Gewinne!$O252-Gewinne!E252)/Gewinne!$O252</f>
        <v>#DIV/0!</v>
      </c>
      <c r="F252" s="1" t="e">
        <f>(Gewinne!$O252-Gewinne!F252)/Gewinne!$O252</f>
        <v>#DIV/0!</v>
      </c>
      <c r="G252" s="1" t="e">
        <f>(Gewinne!$O252-Gewinne!G252)/Gewinne!$O252</f>
        <v>#DIV/0!</v>
      </c>
      <c r="H252" s="1" t="e">
        <f>(Gewinne!$O252-Gewinne!H252)/Gewinne!$O252</f>
        <v>#DIV/0!</v>
      </c>
      <c r="I252" s="1" t="e">
        <f>(Gewinne!$O252-Gewinne!I252)/Gewinne!$O252</f>
        <v>#DIV/0!</v>
      </c>
      <c r="J252" s="1" t="e">
        <f>(Gewinne!$O252-Gewinne!J252)/Gewinne!$O252</f>
        <v>#DIV/0!</v>
      </c>
      <c r="K252" s="1" t="e">
        <f>(Gewinne!$O252-Gewinne!K252)/Gewinne!$O252</f>
        <v>#DIV/0!</v>
      </c>
      <c r="L252" s="1" t="e">
        <f>(Gewinne!$O252-Gewinne!L252)/Gewinne!$O252</f>
        <v>#DIV/0!</v>
      </c>
      <c r="M252" s="1" t="e">
        <f>(Gewinne!$O252-Gewinne!M252)/Gewinne!$O252</f>
        <v>#DIV/0!</v>
      </c>
      <c r="N252" s="1" t="e">
        <f>(Gewinne!$O252-Gewinne!N252)/Gewinne!$O252</f>
        <v>#DIV/0!</v>
      </c>
      <c r="O252" s="1"/>
    </row>
    <row r="253" spans="2:15" x14ac:dyDescent="0.25">
      <c r="B253" t="s">
        <v>263</v>
      </c>
      <c r="C253" s="1" t="e">
        <f>(Gewinne!$O253-Gewinne!C253)/Gewinne!$O253</f>
        <v>#DIV/0!</v>
      </c>
      <c r="D253" s="1" t="e">
        <f>(Gewinne!$O253-Gewinne!D253)/Gewinne!$O253</f>
        <v>#DIV/0!</v>
      </c>
      <c r="E253" s="1" t="e">
        <f>(Gewinne!$O253-Gewinne!E253)/Gewinne!$O253</f>
        <v>#DIV/0!</v>
      </c>
      <c r="F253" s="1" t="e">
        <f>(Gewinne!$O253-Gewinne!F253)/Gewinne!$O253</f>
        <v>#DIV/0!</v>
      </c>
      <c r="G253" s="1" t="e">
        <f>(Gewinne!$O253-Gewinne!G253)/Gewinne!$O253</f>
        <v>#DIV/0!</v>
      </c>
      <c r="H253" s="1" t="e">
        <f>(Gewinne!$O253-Gewinne!H253)/Gewinne!$O253</f>
        <v>#DIV/0!</v>
      </c>
      <c r="I253" s="1" t="e">
        <f>(Gewinne!$O253-Gewinne!I253)/Gewinne!$O253</f>
        <v>#DIV/0!</v>
      </c>
      <c r="J253" s="1" t="e">
        <f>(Gewinne!$O253-Gewinne!J253)/Gewinne!$O253</f>
        <v>#DIV/0!</v>
      </c>
      <c r="K253" s="1" t="e">
        <f>(Gewinne!$O253-Gewinne!K253)/Gewinne!$O253</f>
        <v>#DIV/0!</v>
      </c>
      <c r="L253" s="1" t="e">
        <f>(Gewinne!$O253-Gewinne!L253)/Gewinne!$O253</f>
        <v>#DIV/0!</v>
      </c>
      <c r="M253" s="1" t="e">
        <f>(Gewinne!$O253-Gewinne!M253)/Gewinne!$O253</f>
        <v>#DIV/0!</v>
      </c>
      <c r="N253" s="1" t="e">
        <f>(Gewinne!$O253-Gewinne!N253)/Gewinne!$O253</f>
        <v>#DIV/0!</v>
      </c>
      <c r="O253" s="1"/>
    </row>
    <row r="254" spans="2:15" x14ac:dyDescent="0.25">
      <c r="B254" t="s">
        <v>264</v>
      </c>
      <c r="C254" s="1">
        <f>(Gewinne!$O254-Gewinne!C254)/Gewinne!$O254</f>
        <v>-1.0784313725490196</v>
      </c>
      <c r="D254" s="1">
        <f>(Gewinne!$O254-Gewinne!D254)/Gewinne!$O254</f>
        <v>1</v>
      </c>
      <c r="E254" s="1">
        <f>(Gewinne!$O254-Gewinne!E254)/Gewinne!$O254</f>
        <v>-0.97385620915032678</v>
      </c>
      <c r="F254" s="1">
        <f>(Gewinne!$O254-Gewinne!F254)/Gewinne!$O254</f>
        <v>-0.27849265359477121</v>
      </c>
      <c r="G254" s="1">
        <f>(Gewinne!$O254-Gewinne!G254)/Gewinne!$O254</f>
        <v>-1.065359477124183</v>
      </c>
      <c r="H254" s="1">
        <f>(Gewinne!$O254-Gewinne!H254)/Gewinne!$O254</f>
        <v>-0.94107435294117647</v>
      </c>
      <c r="I254" s="1">
        <f>(Gewinne!$O254-Gewinne!I254)/Gewinne!$O254</f>
        <v>-1.065359477124183</v>
      </c>
      <c r="J254" s="1">
        <f>(Gewinne!$O254-Gewinne!J254)/Gewinne!$O254</f>
        <v>-1.065359477124183</v>
      </c>
      <c r="K254" s="1">
        <f>(Gewinne!$O254-Gewinne!K254)/Gewinne!$O254</f>
        <v>0</v>
      </c>
      <c r="L254" s="1">
        <f>(Gewinne!$O254-Gewinne!L254)/Gewinne!$O254</f>
        <v>-1.065359477124183</v>
      </c>
      <c r="M254" s="1">
        <f>(Gewinne!$O254-Gewinne!M254)/Gewinne!$O254</f>
        <v>-1.065359477124183</v>
      </c>
      <c r="N254" s="1">
        <f>(Gewinne!$O254-Gewinne!N254)/Gewinne!$O254</f>
        <v>-1.065359477124183</v>
      </c>
      <c r="O254" s="1"/>
    </row>
    <row r="255" spans="2:15" x14ac:dyDescent="0.25">
      <c r="B255" t="s">
        <v>265</v>
      </c>
      <c r="C255" s="1" t="e">
        <f>(Gewinne!$O255-Gewinne!C255)/Gewinne!$O255</f>
        <v>#DIV/0!</v>
      </c>
      <c r="D255" s="1" t="e">
        <f>(Gewinne!$O255-Gewinne!D255)/Gewinne!$O255</f>
        <v>#DIV/0!</v>
      </c>
      <c r="E255" s="1" t="e">
        <f>(Gewinne!$O255-Gewinne!E255)/Gewinne!$O255</f>
        <v>#DIV/0!</v>
      </c>
      <c r="F255" s="1" t="e">
        <f>(Gewinne!$O255-Gewinne!F255)/Gewinne!$O255</f>
        <v>#DIV/0!</v>
      </c>
      <c r="G255" s="1" t="e">
        <f>(Gewinne!$O255-Gewinne!G255)/Gewinne!$O255</f>
        <v>#DIV/0!</v>
      </c>
      <c r="H255" s="1" t="e">
        <f>(Gewinne!$O255-Gewinne!H255)/Gewinne!$O255</f>
        <v>#DIV/0!</v>
      </c>
      <c r="I255" s="1" t="e">
        <f>(Gewinne!$O255-Gewinne!I255)/Gewinne!$O255</f>
        <v>#DIV/0!</v>
      </c>
      <c r="J255" s="1" t="e">
        <f>(Gewinne!$O255-Gewinne!J255)/Gewinne!$O255</f>
        <v>#DIV/0!</v>
      </c>
      <c r="K255" s="1" t="e">
        <f>(Gewinne!$O255-Gewinne!K255)/Gewinne!$O255</f>
        <v>#DIV/0!</v>
      </c>
      <c r="L255" s="1" t="e">
        <f>(Gewinne!$O255-Gewinne!L255)/Gewinne!$O255</f>
        <v>#DIV/0!</v>
      </c>
      <c r="M255" s="1" t="e">
        <f>(Gewinne!$O255-Gewinne!M255)/Gewinne!$O255</f>
        <v>#DIV/0!</v>
      </c>
      <c r="N255" s="1" t="e">
        <f>(Gewinne!$O255-Gewinne!N255)/Gewinne!$O255</f>
        <v>#DIV/0!</v>
      </c>
      <c r="O255" s="1"/>
    </row>
    <row r="256" spans="2:15" x14ac:dyDescent="0.25">
      <c r="B256" t="s">
        <v>266</v>
      </c>
      <c r="C256" s="1" t="e">
        <f>(Gewinne!$O256-Gewinne!C256)/Gewinne!$O256</f>
        <v>#DIV/0!</v>
      </c>
      <c r="D256" s="1" t="e">
        <f>(Gewinne!$O256-Gewinne!D256)/Gewinne!$O256</f>
        <v>#DIV/0!</v>
      </c>
      <c r="E256" s="1" t="e">
        <f>(Gewinne!$O256-Gewinne!E256)/Gewinne!$O256</f>
        <v>#DIV/0!</v>
      </c>
      <c r="F256" s="1" t="e">
        <f>(Gewinne!$O256-Gewinne!F256)/Gewinne!$O256</f>
        <v>#DIV/0!</v>
      </c>
      <c r="G256" s="1" t="e">
        <f>(Gewinne!$O256-Gewinne!G256)/Gewinne!$O256</f>
        <v>#DIV/0!</v>
      </c>
      <c r="H256" s="1" t="e">
        <f>(Gewinne!$O256-Gewinne!H256)/Gewinne!$O256</f>
        <v>#DIV/0!</v>
      </c>
      <c r="I256" s="1" t="e">
        <f>(Gewinne!$O256-Gewinne!I256)/Gewinne!$O256</f>
        <v>#DIV/0!</v>
      </c>
      <c r="J256" s="1" t="e">
        <f>(Gewinne!$O256-Gewinne!J256)/Gewinne!$O256</f>
        <v>#DIV/0!</v>
      </c>
      <c r="K256" s="1" t="e">
        <f>(Gewinne!$O256-Gewinne!K256)/Gewinne!$O256</f>
        <v>#DIV/0!</v>
      </c>
      <c r="L256" s="1" t="e">
        <f>(Gewinne!$O256-Gewinne!L256)/Gewinne!$O256</f>
        <v>#DIV/0!</v>
      </c>
      <c r="M256" s="1" t="e">
        <f>(Gewinne!$O256-Gewinne!M256)/Gewinne!$O256</f>
        <v>#DIV/0!</v>
      </c>
      <c r="N256" s="1" t="e">
        <f>(Gewinne!$O256-Gewinne!N256)/Gewinne!$O256</f>
        <v>#DIV/0!</v>
      </c>
      <c r="O256" s="1"/>
    </row>
    <row r="257" spans="2:15" x14ac:dyDescent="0.25">
      <c r="B257" t="s">
        <v>267</v>
      </c>
      <c r="C257" s="1" t="e">
        <f>(Gewinne!$O257-Gewinne!C257)/Gewinne!$O257</f>
        <v>#DIV/0!</v>
      </c>
      <c r="D257" s="1" t="e">
        <f>(Gewinne!$O257-Gewinne!D257)/Gewinne!$O257</f>
        <v>#DIV/0!</v>
      </c>
      <c r="E257" s="1" t="e">
        <f>(Gewinne!$O257-Gewinne!E257)/Gewinne!$O257</f>
        <v>#DIV/0!</v>
      </c>
      <c r="F257" s="1" t="e">
        <f>(Gewinne!$O257-Gewinne!F257)/Gewinne!$O257</f>
        <v>#DIV/0!</v>
      </c>
      <c r="G257" s="1" t="e">
        <f>(Gewinne!$O257-Gewinne!G257)/Gewinne!$O257</f>
        <v>#DIV/0!</v>
      </c>
      <c r="H257" s="1" t="e">
        <f>(Gewinne!$O257-Gewinne!H257)/Gewinne!$O257</f>
        <v>#DIV/0!</v>
      </c>
      <c r="I257" s="1" t="e">
        <f>(Gewinne!$O257-Gewinne!I257)/Gewinne!$O257</f>
        <v>#DIV/0!</v>
      </c>
      <c r="J257" s="1" t="e">
        <f>(Gewinne!$O257-Gewinne!J257)/Gewinne!$O257</f>
        <v>#DIV/0!</v>
      </c>
      <c r="K257" s="1" t="e">
        <f>(Gewinne!$O257-Gewinne!K257)/Gewinne!$O257</f>
        <v>#DIV/0!</v>
      </c>
      <c r="L257" s="1" t="e">
        <f>(Gewinne!$O257-Gewinne!L257)/Gewinne!$O257</f>
        <v>#DIV/0!</v>
      </c>
      <c r="M257" s="1" t="e">
        <f>(Gewinne!$O257-Gewinne!M257)/Gewinne!$O257</f>
        <v>#DIV/0!</v>
      </c>
      <c r="N257" s="1" t="e">
        <f>(Gewinne!$O257-Gewinne!N257)/Gewinne!$O257</f>
        <v>#DIV/0!</v>
      </c>
      <c r="O257" s="1"/>
    </row>
    <row r="258" spans="2:15" x14ac:dyDescent="0.25">
      <c r="B258" t="s">
        <v>268</v>
      </c>
      <c r="C258" s="1" t="e">
        <f>(Gewinne!$O258-Gewinne!C258)/Gewinne!$O258</f>
        <v>#DIV/0!</v>
      </c>
      <c r="D258" s="1" t="e">
        <f>(Gewinne!$O258-Gewinne!D258)/Gewinne!$O258</f>
        <v>#DIV/0!</v>
      </c>
      <c r="E258" s="1" t="e">
        <f>(Gewinne!$O258-Gewinne!E258)/Gewinne!$O258</f>
        <v>#DIV/0!</v>
      </c>
      <c r="F258" s="1" t="e">
        <f>(Gewinne!$O258-Gewinne!F258)/Gewinne!$O258</f>
        <v>#DIV/0!</v>
      </c>
      <c r="G258" s="1" t="e">
        <f>(Gewinne!$O258-Gewinne!G258)/Gewinne!$O258</f>
        <v>#DIV/0!</v>
      </c>
      <c r="H258" s="1" t="e">
        <f>(Gewinne!$O258-Gewinne!H258)/Gewinne!$O258</f>
        <v>#DIV/0!</v>
      </c>
      <c r="I258" s="1" t="e">
        <f>(Gewinne!$O258-Gewinne!I258)/Gewinne!$O258</f>
        <v>#DIV/0!</v>
      </c>
      <c r="J258" s="1" t="e">
        <f>(Gewinne!$O258-Gewinne!J258)/Gewinne!$O258</f>
        <v>#DIV/0!</v>
      </c>
      <c r="K258" s="1" t="e">
        <f>(Gewinne!$O258-Gewinne!K258)/Gewinne!$O258</f>
        <v>#DIV/0!</v>
      </c>
      <c r="L258" s="1" t="e">
        <f>(Gewinne!$O258-Gewinne!L258)/Gewinne!$O258</f>
        <v>#DIV/0!</v>
      </c>
      <c r="M258" s="1" t="e">
        <f>(Gewinne!$O258-Gewinne!M258)/Gewinne!$O258</f>
        <v>#DIV/0!</v>
      </c>
      <c r="N258" s="1" t="e">
        <f>(Gewinne!$O258-Gewinne!N258)/Gewinne!$O258</f>
        <v>#DIV/0!</v>
      </c>
      <c r="O258" s="1"/>
    </row>
    <row r="259" spans="2:15" x14ac:dyDescent="0.25">
      <c r="B259" t="s">
        <v>269</v>
      </c>
      <c r="C259" s="1" t="e">
        <f>(Gewinne!$O259-Gewinne!C259)/Gewinne!$O259</f>
        <v>#DIV/0!</v>
      </c>
      <c r="D259" s="1" t="e">
        <f>(Gewinne!$O259-Gewinne!D259)/Gewinne!$O259</f>
        <v>#DIV/0!</v>
      </c>
      <c r="E259" s="1" t="e">
        <f>(Gewinne!$O259-Gewinne!E259)/Gewinne!$O259</f>
        <v>#DIV/0!</v>
      </c>
      <c r="F259" s="1" t="e">
        <f>(Gewinne!$O259-Gewinne!F259)/Gewinne!$O259</f>
        <v>#DIV/0!</v>
      </c>
      <c r="G259" s="1" t="e">
        <f>(Gewinne!$O259-Gewinne!G259)/Gewinne!$O259</f>
        <v>#DIV/0!</v>
      </c>
      <c r="H259" s="1" t="e">
        <f>(Gewinne!$O259-Gewinne!H259)/Gewinne!$O259</f>
        <v>#DIV/0!</v>
      </c>
      <c r="I259" s="1" t="e">
        <f>(Gewinne!$O259-Gewinne!I259)/Gewinne!$O259</f>
        <v>#DIV/0!</v>
      </c>
      <c r="J259" s="1" t="e">
        <f>(Gewinne!$O259-Gewinne!J259)/Gewinne!$O259</f>
        <v>#DIV/0!</v>
      </c>
      <c r="K259" s="1" t="e">
        <f>(Gewinne!$O259-Gewinne!K259)/Gewinne!$O259</f>
        <v>#DIV/0!</v>
      </c>
      <c r="L259" s="1" t="e">
        <f>(Gewinne!$O259-Gewinne!L259)/Gewinne!$O259</f>
        <v>#DIV/0!</v>
      </c>
      <c r="M259" s="1" t="e">
        <f>(Gewinne!$O259-Gewinne!M259)/Gewinne!$O259</f>
        <v>#DIV/0!</v>
      </c>
      <c r="N259" s="1" t="e">
        <f>(Gewinne!$O259-Gewinne!N259)/Gewinne!$O259</f>
        <v>#DIV/0!</v>
      </c>
      <c r="O259" s="1"/>
    </row>
    <row r="260" spans="2:15" x14ac:dyDescent="0.25">
      <c r="B260" t="s">
        <v>270</v>
      </c>
      <c r="C260" s="1" t="e">
        <f>(Gewinne!$O260-Gewinne!C260)/Gewinne!$O260</f>
        <v>#DIV/0!</v>
      </c>
      <c r="D260" s="1" t="e">
        <f>(Gewinne!$O260-Gewinne!D260)/Gewinne!$O260</f>
        <v>#DIV/0!</v>
      </c>
      <c r="E260" s="1" t="e">
        <f>(Gewinne!$O260-Gewinne!E260)/Gewinne!$O260</f>
        <v>#DIV/0!</v>
      </c>
      <c r="F260" s="1" t="e">
        <f>(Gewinne!$O260-Gewinne!F260)/Gewinne!$O260</f>
        <v>#DIV/0!</v>
      </c>
      <c r="G260" s="1" t="e">
        <f>(Gewinne!$O260-Gewinne!G260)/Gewinne!$O260</f>
        <v>#DIV/0!</v>
      </c>
      <c r="H260" s="1" t="e">
        <f>(Gewinne!$O260-Gewinne!H260)/Gewinne!$O260</f>
        <v>#DIV/0!</v>
      </c>
      <c r="I260" s="1" t="e">
        <f>(Gewinne!$O260-Gewinne!I260)/Gewinne!$O260</f>
        <v>#DIV/0!</v>
      </c>
      <c r="J260" s="1" t="e">
        <f>(Gewinne!$O260-Gewinne!J260)/Gewinne!$O260</f>
        <v>#DIV/0!</v>
      </c>
      <c r="K260" s="1" t="e">
        <f>(Gewinne!$O260-Gewinne!K260)/Gewinne!$O260</f>
        <v>#DIV/0!</v>
      </c>
      <c r="L260" s="1" t="e">
        <f>(Gewinne!$O260-Gewinne!L260)/Gewinne!$O260</f>
        <v>#DIV/0!</v>
      </c>
      <c r="M260" s="1" t="e">
        <f>(Gewinne!$O260-Gewinne!M260)/Gewinne!$O260</f>
        <v>#DIV/0!</v>
      </c>
      <c r="N260" s="1" t="e">
        <f>(Gewinne!$O260-Gewinne!N260)/Gewinne!$O260</f>
        <v>#DIV/0!</v>
      </c>
      <c r="O260" s="1"/>
    </row>
    <row r="261" spans="2:15" x14ac:dyDescent="0.25">
      <c r="B261" t="s">
        <v>271</v>
      </c>
      <c r="C261" s="1" t="e">
        <f>(Gewinne!$O261-Gewinne!C261)/Gewinne!$O261</f>
        <v>#DIV/0!</v>
      </c>
      <c r="D261" s="1" t="e">
        <f>(Gewinne!$O261-Gewinne!D261)/Gewinne!$O261</f>
        <v>#DIV/0!</v>
      </c>
      <c r="E261" s="1" t="e">
        <f>(Gewinne!$O261-Gewinne!E261)/Gewinne!$O261</f>
        <v>#DIV/0!</v>
      </c>
      <c r="F261" s="1" t="e">
        <f>(Gewinne!$O261-Gewinne!F261)/Gewinne!$O261</f>
        <v>#DIV/0!</v>
      </c>
      <c r="G261" s="1" t="e">
        <f>(Gewinne!$O261-Gewinne!G261)/Gewinne!$O261</f>
        <v>#DIV/0!</v>
      </c>
      <c r="H261" s="1" t="e">
        <f>(Gewinne!$O261-Gewinne!H261)/Gewinne!$O261</f>
        <v>#DIV/0!</v>
      </c>
      <c r="I261" s="1" t="e">
        <f>(Gewinne!$O261-Gewinne!I261)/Gewinne!$O261</f>
        <v>#DIV/0!</v>
      </c>
      <c r="J261" s="1" t="e">
        <f>(Gewinne!$O261-Gewinne!J261)/Gewinne!$O261</f>
        <v>#DIV/0!</v>
      </c>
      <c r="K261" s="1" t="e">
        <f>(Gewinne!$O261-Gewinne!K261)/Gewinne!$O261</f>
        <v>#DIV/0!</v>
      </c>
      <c r="L261" s="1" t="e">
        <f>(Gewinne!$O261-Gewinne!L261)/Gewinne!$O261</f>
        <v>#DIV/0!</v>
      </c>
      <c r="M261" s="1" t="e">
        <f>(Gewinne!$O261-Gewinne!M261)/Gewinne!$O261</f>
        <v>#DIV/0!</v>
      </c>
      <c r="N261" s="1" t="e">
        <f>(Gewinne!$O261-Gewinne!N261)/Gewinne!$O261</f>
        <v>#DIV/0!</v>
      </c>
      <c r="O261" s="1"/>
    </row>
    <row r="262" spans="2:15" x14ac:dyDescent="0.25">
      <c r="B262" t="s">
        <v>272</v>
      </c>
      <c r="C262" s="1" t="e">
        <f>(Gewinne!$O262-Gewinne!C262)/Gewinne!$O262</f>
        <v>#DIV/0!</v>
      </c>
      <c r="D262" s="1" t="e">
        <f>(Gewinne!$O262-Gewinne!D262)/Gewinne!$O262</f>
        <v>#DIV/0!</v>
      </c>
      <c r="E262" s="1" t="e">
        <f>(Gewinne!$O262-Gewinne!E262)/Gewinne!$O262</f>
        <v>#DIV/0!</v>
      </c>
      <c r="F262" s="1" t="e">
        <f>(Gewinne!$O262-Gewinne!F262)/Gewinne!$O262</f>
        <v>#DIV/0!</v>
      </c>
      <c r="G262" s="1" t="e">
        <f>(Gewinne!$O262-Gewinne!G262)/Gewinne!$O262</f>
        <v>#DIV/0!</v>
      </c>
      <c r="H262" s="1" t="e">
        <f>(Gewinne!$O262-Gewinne!H262)/Gewinne!$O262</f>
        <v>#DIV/0!</v>
      </c>
      <c r="I262" s="1" t="e">
        <f>(Gewinne!$O262-Gewinne!I262)/Gewinne!$O262</f>
        <v>#DIV/0!</v>
      </c>
      <c r="J262" s="1" t="e">
        <f>(Gewinne!$O262-Gewinne!J262)/Gewinne!$O262</f>
        <v>#DIV/0!</v>
      </c>
      <c r="K262" s="1" t="e">
        <f>(Gewinne!$O262-Gewinne!K262)/Gewinne!$O262</f>
        <v>#DIV/0!</v>
      </c>
      <c r="L262" s="1" t="e">
        <f>(Gewinne!$O262-Gewinne!L262)/Gewinne!$O262</f>
        <v>#DIV/0!</v>
      </c>
      <c r="M262" s="1" t="e">
        <f>(Gewinne!$O262-Gewinne!M262)/Gewinne!$O262</f>
        <v>#DIV/0!</v>
      </c>
      <c r="N262" s="1" t="e">
        <f>(Gewinne!$O262-Gewinne!N262)/Gewinne!$O262</f>
        <v>#DIV/0!</v>
      </c>
      <c r="O262" s="1"/>
    </row>
    <row r="263" spans="2:15" x14ac:dyDescent="0.25">
      <c r="B263" t="s">
        <v>273</v>
      </c>
      <c r="C263" s="1" t="e">
        <f>(Gewinne!$O263-Gewinne!C263)/Gewinne!$O263</f>
        <v>#DIV/0!</v>
      </c>
      <c r="D263" s="1" t="e">
        <f>(Gewinne!$O263-Gewinne!D263)/Gewinne!$O263</f>
        <v>#DIV/0!</v>
      </c>
      <c r="E263" s="1" t="e">
        <f>(Gewinne!$O263-Gewinne!E263)/Gewinne!$O263</f>
        <v>#DIV/0!</v>
      </c>
      <c r="F263" s="1" t="e">
        <f>(Gewinne!$O263-Gewinne!F263)/Gewinne!$O263</f>
        <v>#DIV/0!</v>
      </c>
      <c r="G263" s="1" t="e">
        <f>(Gewinne!$O263-Gewinne!G263)/Gewinne!$O263</f>
        <v>#DIV/0!</v>
      </c>
      <c r="H263" s="1" t="e">
        <f>(Gewinne!$O263-Gewinne!H263)/Gewinne!$O263</f>
        <v>#DIV/0!</v>
      </c>
      <c r="I263" s="1" t="e">
        <f>(Gewinne!$O263-Gewinne!I263)/Gewinne!$O263</f>
        <v>#DIV/0!</v>
      </c>
      <c r="J263" s="1" t="e">
        <f>(Gewinne!$O263-Gewinne!J263)/Gewinne!$O263</f>
        <v>#DIV/0!</v>
      </c>
      <c r="K263" s="1" t="e">
        <f>(Gewinne!$O263-Gewinne!K263)/Gewinne!$O263</f>
        <v>#DIV/0!</v>
      </c>
      <c r="L263" s="1" t="e">
        <f>(Gewinne!$O263-Gewinne!L263)/Gewinne!$O263</f>
        <v>#DIV/0!</v>
      </c>
      <c r="M263" s="1" t="e">
        <f>(Gewinne!$O263-Gewinne!M263)/Gewinne!$O263</f>
        <v>#DIV/0!</v>
      </c>
      <c r="N263" s="1" t="e">
        <f>(Gewinne!$O263-Gewinne!N263)/Gewinne!$O263</f>
        <v>#DIV/0!</v>
      </c>
      <c r="O263" s="1"/>
    </row>
    <row r="264" spans="2:15" x14ac:dyDescent="0.25">
      <c r="B264" t="s">
        <v>274</v>
      </c>
      <c r="C264" s="1" t="e">
        <f>(Gewinne!$O264-Gewinne!C264)/Gewinne!$O264</f>
        <v>#DIV/0!</v>
      </c>
      <c r="D264" s="1" t="e">
        <f>(Gewinne!$O264-Gewinne!D264)/Gewinne!$O264</f>
        <v>#DIV/0!</v>
      </c>
      <c r="E264" s="1" t="e">
        <f>(Gewinne!$O264-Gewinne!E264)/Gewinne!$O264</f>
        <v>#DIV/0!</v>
      </c>
      <c r="F264" s="1" t="e">
        <f>(Gewinne!$O264-Gewinne!F264)/Gewinne!$O264</f>
        <v>#DIV/0!</v>
      </c>
      <c r="G264" s="1" t="e">
        <f>(Gewinne!$O264-Gewinne!G264)/Gewinne!$O264</f>
        <v>#DIV/0!</v>
      </c>
      <c r="H264" s="1" t="e">
        <f>(Gewinne!$O264-Gewinne!H264)/Gewinne!$O264</f>
        <v>#DIV/0!</v>
      </c>
      <c r="I264" s="1" t="e">
        <f>(Gewinne!$O264-Gewinne!I264)/Gewinne!$O264</f>
        <v>#DIV/0!</v>
      </c>
      <c r="J264" s="1" t="e">
        <f>(Gewinne!$O264-Gewinne!J264)/Gewinne!$O264</f>
        <v>#DIV/0!</v>
      </c>
      <c r="K264" s="1" t="e">
        <f>(Gewinne!$O264-Gewinne!K264)/Gewinne!$O264</f>
        <v>#DIV/0!</v>
      </c>
      <c r="L264" s="1" t="e">
        <f>(Gewinne!$O264-Gewinne!L264)/Gewinne!$O264</f>
        <v>#DIV/0!</v>
      </c>
      <c r="M264" s="1" t="e">
        <f>(Gewinne!$O264-Gewinne!M264)/Gewinne!$O264</f>
        <v>#DIV/0!</v>
      </c>
      <c r="N264" s="1" t="e">
        <f>(Gewinne!$O264-Gewinne!N264)/Gewinne!$O264</f>
        <v>#DIV/0!</v>
      </c>
      <c r="O264" s="1"/>
    </row>
    <row r="265" spans="2:15" x14ac:dyDescent="0.25">
      <c r="B265" t="s">
        <v>275</v>
      </c>
      <c r="C265" s="1">
        <f>(Gewinne!$O265-Gewinne!C265)/Gewinne!$O265</f>
        <v>1</v>
      </c>
      <c r="D265" s="1">
        <f>(Gewinne!$O265-Gewinne!D265)/Gewinne!$O265</f>
        <v>1</v>
      </c>
      <c r="E265" s="1">
        <f>(Gewinne!$O265-Gewinne!E265)/Gewinne!$O265</f>
        <v>3.3077431074172541E-2</v>
      </c>
      <c r="F265" s="1">
        <f>(Gewinne!$O265-Gewinne!F265)/Gewinne!$O265</f>
        <v>0.81991934807161859</v>
      </c>
      <c r="G265" s="1">
        <f>(Gewinne!$O265-Gewinne!G265)/Gewinne!$O265</f>
        <v>-0.10785470295163095</v>
      </c>
      <c r="H265" s="1">
        <f>(Gewinne!$O265-Gewinne!H265)/Gewinne!$O265</f>
        <v>-7.7374316057268522E-2</v>
      </c>
      <c r="I265" s="1">
        <f>(Gewinne!$O265-Gewinne!I265)/Gewinne!$O265</f>
        <v>-9.2694213709301879E-2</v>
      </c>
      <c r="J265" s="1">
        <f>(Gewinne!$O265-Gewinne!J265)/Gewinne!$O265</f>
        <v>-9.4197778659756926E-2</v>
      </c>
      <c r="K265" s="1">
        <f>(Gewinne!$O265-Gewinne!K265)/Gewinne!$O265</f>
        <v>-2.1823821961212478E-2</v>
      </c>
      <c r="L265" s="1">
        <f>(Gewinne!$O265-Gewinne!L265)/Gewinne!$O265</f>
        <v>-6.2373235224643712E-2</v>
      </c>
      <c r="M265" s="1">
        <f>(Gewinne!$O265-Gewinne!M265)/Gewinne!$O265</f>
        <v>-9.5097614338246053E-2</v>
      </c>
      <c r="N265" s="1">
        <f>(Gewinne!$O265-Gewinne!N265)/Gewinne!$O265</f>
        <v>-6.8911314737859455E-2</v>
      </c>
      <c r="O265" s="1"/>
    </row>
    <row r="266" spans="2:15" x14ac:dyDescent="0.25">
      <c r="B266" t="s">
        <v>276</v>
      </c>
      <c r="C266" s="1">
        <f>(Gewinne!$O266-Gewinne!C266)/Gewinne!$O266</f>
        <v>1</v>
      </c>
      <c r="D266" s="1">
        <f>(Gewinne!$O266-Gewinne!D266)/Gewinne!$O266</f>
        <v>1</v>
      </c>
      <c r="E266" s="1">
        <f>(Gewinne!$O266-Gewinne!E266)/Gewinne!$O266</f>
        <v>-5.925398992670295E-3</v>
      </c>
      <c r="F266" s="1">
        <f>(Gewinne!$O266-Gewinne!F266)/Gewinne!$O266</f>
        <v>0.30538920492802363</v>
      </c>
      <c r="G266" s="1">
        <f>(Gewinne!$O266-Gewinne!G266)/Gewinne!$O266</f>
        <v>-0.21453674415553176</v>
      </c>
      <c r="H266" s="1">
        <f>(Gewinne!$O266-Gewinne!H266)/Gewinne!$O266</f>
        <v>-0.20763877934725819</v>
      </c>
      <c r="I266" s="1">
        <f>(Gewinne!$O266-Gewinne!I266)/Gewinne!$O266</f>
        <v>-0.22717233191563579</v>
      </c>
      <c r="J266" s="1">
        <f>(Gewinne!$O266-Gewinne!J266)/Gewinne!$O266</f>
        <v>-0.2320557200577302</v>
      </c>
      <c r="K266" s="1">
        <f>(Gewinne!$O266-Gewinne!K266)/Gewinne!$O266</f>
        <v>-0.14923523472109276</v>
      </c>
      <c r="L266" s="1">
        <f>(Gewinne!$O266-Gewinne!L266)/Gewinne!$O266</f>
        <v>-0.21779233625026137</v>
      </c>
      <c r="M266" s="1">
        <f>(Gewinne!$O266-Gewinne!M266)/Gewinne!$O266</f>
        <v>-0.19500319158715415</v>
      </c>
      <c r="N266" s="1">
        <f>(Gewinne!$O266-Gewinne!N266)/Gewinne!$O266</f>
        <v>-0.22228894377354139</v>
      </c>
      <c r="O266" s="1"/>
    </row>
    <row r="267" spans="2:15" x14ac:dyDescent="0.25">
      <c r="B267" t="s">
        <v>277</v>
      </c>
      <c r="C267" s="1">
        <f>(Gewinne!$O267-Gewinne!C267)/Gewinne!$O267</f>
        <v>1</v>
      </c>
      <c r="D267" s="1">
        <f>(Gewinne!$O267-Gewinne!D267)/Gewinne!$O267</f>
        <v>1</v>
      </c>
      <c r="E267" s="1">
        <f>(Gewinne!$O267-Gewinne!E267)/Gewinne!$O267</f>
        <v>0.10130911832358501</v>
      </c>
      <c r="F267" s="1">
        <f>(Gewinne!$O267-Gewinne!F267)/Gewinne!$O267</f>
        <v>0.58942272709565868</v>
      </c>
      <c r="G267" s="1">
        <f>(Gewinne!$O267-Gewinne!G267)/Gewinne!$O267</f>
        <v>-3.9771807354321377E-2</v>
      </c>
      <c r="H267" s="1">
        <f>(Gewinne!$O267-Gewinne!H267)/Gewinne!$O267</f>
        <v>-1.7992146960122853E-2</v>
      </c>
      <c r="I267" s="1">
        <f>(Gewinne!$O267-Gewinne!I267)/Gewinne!$O267</f>
        <v>-7.1352314925909238E-2</v>
      </c>
      <c r="J267" s="1">
        <f>(Gewinne!$O267-Gewinne!J267)/Gewinne!$O267</f>
        <v>-6.1669511329890382E-2</v>
      </c>
      <c r="K267" s="1">
        <f>(Gewinne!$O267-Gewinne!K267)/Gewinne!$O267</f>
        <v>1.5766326650884857E-2</v>
      </c>
      <c r="L267" s="1">
        <f>(Gewinne!$O267-Gewinne!L267)/Gewinne!$O267</f>
        <v>-3.4444935837142227E-2</v>
      </c>
      <c r="M267" s="1">
        <f>(Gewinne!$O267-Gewinne!M267)/Gewinne!$O267</f>
        <v>-3.9534112852642926E-3</v>
      </c>
      <c r="N267" s="1">
        <f>(Gewinne!$O267-Gewinne!N267)/Gewinne!$O267</f>
        <v>-2.2133926172204561E-2</v>
      </c>
      <c r="O267" s="1"/>
    </row>
    <row r="268" spans="2:15" x14ac:dyDescent="0.25">
      <c r="B268" t="s">
        <v>278</v>
      </c>
      <c r="C268" s="1">
        <f>(Gewinne!$O268-Gewinne!C268)/Gewinne!$O268</f>
        <v>1</v>
      </c>
      <c r="D268" s="1">
        <f>(Gewinne!$O268-Gewinne!D268)/Gewinne!$O268</f>
        <v>1</v>
      </c>
      <c r="E268" s="1">
        <f>(Gewinne!$O268-Gewinne!E268)/Gewinne!$O268</f>
        <v>0.15415819618223675</v>
      </c>
      <c r="F268" s="1">
        <f>(Gewinne!$O268-Gewinne!F268)/Gewinne!$O268</f>
        <v>0.35786338500609766</v>
      </c>
      <c r="G268" s="1">
        <f>(Gewinne!$O268-Gewinne!G268)/Gewinne!$O268</f>
        <v>-8.9584325073124971E-2</v>
      </c>
      <c r="H268" s="1">
        <f>(Gewinne!$O268-Gewinne!H268)/Gewinne!$O268</f>
        <v>-4.8313617547212237E-2</v>
      </c>
      <c r="I268" s="1">
        <f>(Gewinne!$O268-Gewinne!I268)/Gewinne!$O268</f>
        <v>-8.8402932310783153E-2</v>
      </c>
      <c r="J268" s="1">
        <f>(Gewinne!$O268-Gewinne!J268)/Gewinne!$O268</f>
        <v>-8.7708383821947122E-2</v>
      </c>
      <c r="K268" s="1">
        <f>(Gewinne!$O268-Gewinne!K268)/Gewinne!$O268</f>
        <v>4.5022590028268444E-2</v>
      </c>
      <c r="L268" s="1">
        <f>(Gewinne!$O268-Gewinne!L268)/Gewinne!$O268</f>
        <v>-9.3336207575480681E-2</v>
      </c>
      <c r="M268" s="1">
        <f>(Gewinne!$O268-Gewinne!M268)/Gewinne!$O268</f>
        <v>-6.2250131425630101E-2</v>
      </c>
      <c r="N268" s="1">
        <f>(Gewinne!$O268-Gewinne!N268)/Gewinne!$O268</f>
        <v>-8.4294043180798375E-2</v>
      </c>
      <c r="O268" s="1"/>
    </row>
    <row r="269" spans="2:15" x14ac:dyDescent="0.25">
      <c r="B269" t="s">
        <v>279</v>
      </c>
      <c r="C269" s="1">
        <f>(Gewinne!$O269-Gewinne!C269)/Gewinne!$O269</f>
        <v>1</v>
      </c>
      <c r="D269" s="1">
        <f>(Gewinne!$O269-Gewinne!D269)/Gewinne!$O269</f>
        <v>1</v>
      </c>
      <c r="E269" s="1">
        <f>(Gewinne!$O269-Gewinne!E269)/Gewinne!$O269</f>
        <v>1.07070141745906E-2</v>
      </c>
      <c r="F269" s="1">
        <f>(Gewinne!$O269-Gewinne!F269)/Gewinne!$O269</f>
        <v>6.256671131032536E-2</v>
      </c>
      <c r="G269" s="1">
        <f>(Gewinne!$O269-Gewinne!G269)/Gewinne!$O269</f>
        <v>-9.125900819083814E-2</v>
      </c>
      <c r="H269" s="1">
        <f>(Gewinne!$O269-Gewinne!H269)/Gewinne!$O269</f>
        <v>-5.4574190039096672E-2</v>
      </c>
      <c r="I269" s="1">
        <f>(Gewinne!$O269-Gewinne!I269)/Gewinne!$O269</f>
        <v>-9.9846088605480096E-2</v>
      </c>
      <c r="J269" s="1">
        <f>(Gewinne!$O269-Gewinne!J269)/Gewinne!$O269</f>
        <v>-8.3971520569973243E-2</v>
      </c>
      <c r="K269" s="1">
        <f>(Gewinne!$O269-Gewinne!K269)/Gewinne!$O269</f>
        <v>4.034753769247422E-2</v>
      </c>
      <c r="L269" s="1">
        <f>(Gewinne!$O269-Gewinne!L269)/Gewinne!$O269</f>
        <v>-8.5561263941296734E-2</v>
      </c>
      <c r="M269" s="1">
        <f>(Gewinne!$O269-Gewinne!M269)/Gewinne!$O269</f>
        <v>-5.9707045225473369E-2</v>
      </c>
      <c r="N269" s="1">
        <f>(Gewinne!$O269-Gewinne!N269)/Gewinne!$O269</f>
        <v>-6.1517438780299277E-2</v>
      </c>
      <c r="O269" s="1"/>
    </row>
    <row r="270" spans="2:15" x14ac:dyDescent="0.25">
      <c r="B270" t="s">
        <v>280</v>
      </c>
      <c r="C270" s="1">
        <f>(Gewinne!$O270-Gewinne!C270)/Gewinne!$O270</f>
        <v>1</v>
      </c>
      <c r="D270" s="1">
        <f>(Gewinne!$O270-Gewinne!D270)/Gewinne!$O270</f>
        <v>1</v>
      </c>
      <c r="E270" s="1">
        <f>(Gewinne!$O270-Gewinne!E270)/Gewinne!$O270</f>
        <v>-7.6472545417655882E-3</v>
      </c>
      <c r="F270" s="1">
        <f>(Gewinne!$O270-Gewinne!F270)/Gewinne!$O270</f>
        <v>0.46805208431683659</v>
      </c>
      <c r="G270" s="1">
        <f>(Gewinne!$O270-Gewinne!G270)/Gewinne!$O270</f>
        <v>-7.373326801243052E-2</v>
      </c>
      <c r="H270" s="1">
        <f>(Gewinne!$O270-Gewinne!H270)/Gewinne!$O270</f>
        <v>-4.1325050942789689E-2</v>
      </c>
      <c r="I270" s="1">
        <f>(Gewinne!$O270-Gewinne!I270)/Gewinne!$O270</f>
        <v>-8.0727358008576083E-2</v>
      </c>
      <c r="J270" s="1">
        <f>(Gewinne!$O270-Gewinne!J270)/Gewinne!$O270</f>
        <v>-7.4372566402766474E-2</v>
      </c>
      <c r="K270" s="1">
        <f>(Gewinne!$O270-Gewinne!K270)/Gewinne!$O270</f>
        <v>4.1129291587371723E-3</v>
      </c>
      <c r="L270" s="1">
        <f>(Gewinne!$O270-Gewinne!L270)/Gewinne!$O270</f>
        <v>-7.5321965913882932E-2</v>
      </c>
      <c r="M270" s="1">
        <f>(Gewinne!$O270-Gewinne!M270)/Gewinne!$O270</f>
        <v>-7.6910663815335331E-2</v>
      </c>
      <c r="N270" s="1">
        <f>(Gewinne!$O270-Gewinne!N270)/Gewinne!$O270</f>
        <v>-7.849936171678773E-2</v>
      </c>
      <c r="O270" s="1"/>
    </row>
    <row r="271" spans="2:15" x14ac:dyDescent="0.25">
      <c r="B271" t="s">
        <v>281</v>
      </c>
      <c r="C271" s="1">
        <f>(Gewinne!$O271-Gewinne!C271)/Gewinne!$O271</f>
        <v>1</v>
      </c>
      <c r="D271" s="1">
        <f>(Gewinne!$O271-Gewinne!D271)/Gewinne!$O271</f>
        <v>0.97223275221491856</v>
      </c>
      <c r="E271" s="1">
        <f>(Gewinne!$O271-Gewinne!E271)/Gewinne!$O271</f>
        <v>8.6011182623606769E-2</v>
      </c>
      <c r="F271" s="1">
        <f>(Gewinne!$O271-Gewinne!F271)/Gewinne!$O271</f>
        <v>0.15538814747070595</v>
      </c>
      <c r="G271" s="1">
        <f>(Gewinne!$O271-Gewinne!G271)/Gewinne!$O271</f>
        <v>-7.2363447842240677E-2</v>
      </c>
      <c r="H271" s="1">
        <f>(Gewinne!$O271-Gewinne!H271)/Gewinne!$O271</f>
        <v>-6.6931790797370688E-2</v>
      </c>
      <c r="I271" s="1">
        <f>(Gewinne!$O271-Gewinne!I271)/Gewinne!$O271</f>
        <v>-8.1793179765647331E-2</v>
      </c>
      <c r="J271" s="1">
        <f>(Gewinne!$O271-Gewinne!J271)/Gewinne!$O271</f>
        <v>-8.4363390683052292E-2</v>
      </c>
      <c r="K271" s="1">
        <f>(Gewinne!$O271-Gewinne!K271)/Gewinne!$O271</f>
        <v>-1.5740126893398144E-2</v>
      </c>
      <c r="L271" s="1">
        <f>(Gewinne!$O271-Gewinne!L271)/Gewinne!$O271</f>
        <v>-8.0365734209774248E-2</v>
      </c>
      <c r="M271" s="1">
        <f>(Gewinne!$O271-Gewinne!M271)/Gewinne!$O271</f>
        <v>-3.4327330094312651E-2</v>
      </c>
      <c r="N271" s="1">
        <f>(Gewinne!$O271-Gewinne!N271)/Gewinne!$O271</f>
        <v>-7.6936182909402712E-2</v>
      </c>
      <c r="O271" s="1"/>
    </row>
    <row r="272" spans="2:15" x14ac:dyDescent="0.25">
      <c r="B272" t="s">
        <v>282</v>
      </c>
      <c r="C272" s="1">
        <f>(Gewinne!$O272-Gewinne!C272)/Gewinne!$O272</f>
        <v>1</v>
      </c>
      <c r="D272" s="1">
        <f>(Gewinne!$O272-Gewinne!D272)/Gewinne!$O272</f>
        <v>0.88071186586161709</v>
      </c>
      <c r="E272" s="1">
        <f>(Gewinne!$O272-Gewinne!E272)/Gewinne!$O272</f>
        <v>0.12688295891842905</v>
      </c>
      <c r="F272" s="1">
        <f>(Gewinne!$O272-Gewinne!F272)/Gewinne!$O272</f>
        <v>0.18788419201252901</v>
      </c>
      <c r="G272" s="1">
        <f>(Gewinne!$O272-Gewinne!G272)/Gewinne!$O272</f>
        <v>-0.1644094783232303</v>
      </c>
      <c r="H272" s="1">
        <f>(Gewinne!$O272-Gewinne!H272)/Gewinne!$O272</f>
        <v>-7.9879904812471453E-2</v>
      </c>
      <c r="I272" s="1">
        <f>(Gewinne!$O272-Gewinne!I272)/Gewinne!$O272</f>
        <v>-0.15326553657350375</v>
      </c>
      <c r="J272" s="1">
        <f>(Gewinne!$O272-Gewinne!J272)/Gewinne!$O272</f>
        <v>-0.15275022680450495</v>
      </c>
      <c r="K272" s="1">
        <f>(Gewinne!$O272-Gewinne!K272)/Gewinne!$O272</f>
        <v>0.2097359437200467</v>
      </c>
      <c r="L272" s="1">
        <f>(Gewinne!$O272-Gewinne!L272)/Gewinne!$O272</f>
        <v>-0.13487885612109368</v>
      </c>
      <c r="M272" s="1">
        <f>(Gewinne!$O272-Gewinne!M272)/Gewinne!$O272</f>
        <v>-0.14452109793445975</v>
      </c>
      <c r="N272" s="1">
        <f>(Gewinne!$O272-Gewinne!N272)/Gewinne!$O272</f>
        <v>-0.11194284648896619</v>
      </c>
      <c r="O272" s="1"/>
    </row>
    <row r="273" spans="2:15" x14ac:dyDescent="0.25">
      <c r="B273" t="s">
        <v>283</v>
      </c>
      <c r="C273" s="1">
        <f>(Gewinne!$O273-Gewinne!C273)/Gewinne!$O273</f>
        <v>8.9096443776188888E-2</v>
      </c>
      <c r="D273" s="1">
        <f>(Gewinne!$O273-Gewinne!D273)/Gewinne!$O273</f>
        <v>0.86756961033511315</v>
      </c>
      <c r="E273" s="1">
        <f>(Gewinne!$O273-Gewinne!E273)/Gewinne!$O273</f>
        <v>-0.11757528198166957</v>
      </c>
      <c r="F273" s="1">
        <f>(Gewinne!$O273-Gewinne!F273)/Gewinne!$O273</f>
        <v>0.26683922969166629</v>
      </c>
      <c r="G273" s="1">
        <f>(Gewinne!$O273-Gewinne!G273)/Gewinne!$O273</f>
        <v>-0.27469562197579278</v>
      </c>
      <c r="H273" s="1">
        <f>(Gewinne!$O273-Gewinne!H273)/Gewinne!$O273</f>
        <v>-0.22365577168645165</v>
      </c>
      <c r="I273" s="1">
        <f>(Gewinne!$O273-Gewinne!I273)/Gewinne!$O273</f>
        <v>-0.28346394955602178</v>
      </c>
      <c r="J273" s="1">
        <f>(Gewinne!$O273-Gewinne!J273)/Gewinne!$O273</f>
        <v>-0.28211128888797837</v>
      </c>
      <c r="K273" s="1">
        <f>(Gewinne!$O273-Gewinne!K273)/Gewinne!$O273</f>
        <v>1.7536655160458027E-2</v>
      </c>
      <c r="L273" s="1">
        <f>(Gewinne!$O273-Gewinne!L273)/Gewinne!$O273</f>
        <v>-0.22071783246521332</v>
      </c>
      <c r="M273" s="1">
        <f>(Gewinne!$O273-Gewinne!M273)/Gewinne!$O273</f>
        <v>-0.24942932947470786</v>
      </c>
      <c r="N273" s="1">
        <f>(Gewinne!$O273-Gewinne!N273)/Gewinne!$O273</f>
        <v>-0.27625057380666374</v>
      </c>
      <c r="O273" s="1"/>
    </row>
    <row r="274" spans="2:15" x14ac:dyDescent="0.25">
      <c r="B274" t="s">
        <v>284</v>
      </c>
      <c r="C274" s="1">
        <f>(Gewinne!$O274-Gewinne!C274)/Gewinne!$O274</f>
        <v>1</v>
      </c>
      <c r="D274" s="1">
        <f>(Gewinne!$O274-Gewinne!D274)/Gewinne!$O274</f>
        <v>1</v>
      </c>
      <c r="E274" s="1">
        <f>(Gewinne!$O274-Gewinne!E274)/Gewinne!$O274</f>
        <v>0.19321393194909525</v>
      </c>
      <c r="F274" s="1">
        <f>(Gewinne!$O274-Gewinne!F274)/Gewinne!$O274</f>
        <v>0.49104622668790188</v>
      </c>
      <c r="G274" s="1">
        <f>(Gewinne!$O274-Gewinne!G274)/Gewinne!$O274</f>
        <v>-7.9759600901076491E-2</v>
      </c>
      <c r="H274" s="1">
        <f>(Gewinne!$O274-Gewinne!H274)/Gewinne!$O274</f>
        <v>-5.9535000953315979E-2</v>
      </c>
      <c r="I274" s="1">
        <f>(Gewinne!$O274-Gewinne!I274)/Gewinne!$O274</f>
        <v>-0.1079170287067884</v>
      </c>
      <c r="J274" s="1">
        <f>(Gewinne!$O274-Gewinne!J274)/Gewinne!$O274</f>
        <v>-9.2041675850180263E-2</v>
      </c>
      <c r="K274" s="1">
        <f>(Gewinne!$O274-Gewinne!K274)/Gewinne!$O274</f>
        <v>2.3179819129111316E-2</v>
      </c>
      <c r="L274" s="1">
        <f>(Gewinne!$O274-Gewinne!L274)/Gewinne!$O274</f>
        <v>-7.8031671338452471E-2</v>
      </c>
      <c r="M274" s="1">
        <f>(Gewinne!$O274-Gewinne!M274)/Gewinne!$O274</f>
        <v>-0.10913440346568475</v>
      </c>
      <c r="N274" s="1">
        <f>(Gewinne!$O274-Gewinne!N274)/Gewinne!$O274</f>
        <v>-6.2666873285572008E-2</v>
      </c>
      <c r="O274" s="1"/>
    </row>
    <row r="275" spans="2:15" x14ac:dyDescent="0.25">
      <c r="B275" t="s">
        <v>285</v>
      </c>
      <c r="C275" s="1">
        <f>(Gewinne!$O275-Gewinne!C275)/Gewinne!$O275</f>
        <v>-2.7018881127004786</v>
      </c>
      <c r="D275" s="1">
        <f>(Gewinne!$O275-Gewinne!D275)/Gewinne!$O275</f>
        <v>1</v>
      </c>
      <c r="E275" s="1">
        <f>(Gewinne!$O275-Gewinne!E275)/Gewinne!$O275</f>
        <v>-2.0511745720634758</v>
      </c>
      <c r="F275" s="1">
        <f>(Gewinne!$O275-Gewinne!F275)/Gewinne!$O275</f>
        <v>-2.6844454151887036</v>
      </c>
      <c r="G275" s="1">
        <f>(Gewinne!$O275-Gewinne!G275)/Gewinne!$O275</f>
        <v>-2.7018881127004786</v>
      </c>
      <c r="H275" s="1">
        <f>(Gewinne!$O275-Gewinne!H275)/Gewinne!$O275</f>
        <v>-2.4053622550003073</v>
      </c>
      <c r="I275" s="1">
        <f>(Gewinne!$O275-Gewinne!I275)/Gewinne!$O275</f>
        <v>-2.7018881127004786</v>
      </c>
      <c r="J275" s="1">
        <f>(Gewinne!$O275-Gewinne!J275)/Gewinne!$O275</f>
        <v>-2.6106383849373795</v>
      </c>
      <c r="K275" s="1">
        <f>(Gewinne!$O275-Gewinne!K275)/Gewinne!$O275</f>
        <v>0.59881795722918008</v>
      </c>
      <c r="L275" s="1">
        <f>(Gewinne!$O275-Gewinne!L275)/Gewinne!$O275</f>
        <v>-2.6495600201651541</v>
      </c>
      <c r="M275" s="1">
        <f>(Gewinne!$O275-Gewinne!M275)/Gewinne!$O275</f>
        <v>-2.5797892301180547</v>
      </c>
      <c r="N275" s="1">
        <f>(Gewinne!$O275-Gewinne!N275)/Gewinne!$O275</f>
        <v>-2.4751330450474063</v>
      </c>
      <c r="O275" s="1"/>
    </row>
    <row r="276" spans="2:15" x14ac:dyDescent="0.25">
      <c r="B276" t="s">
        <v>286</v>
      </c>
      <c r="C276" s="1">
        <f>(Gewinne!$O276-Gewinne!C276)/Gewinne!$O276</f>
        <v>-1.5743374253164264</v>
      </c>
      <c r="D276" s="1">
        <f>(Gewinne!$O276-Gewinne!D276)/Gewinne!$O276</f>
        <v>1</v>
      </c>
      <c r="E276" s="1">
        <f>(Gewinne!$O276-Gewinne!E276)/Gewinne!$O276</f>
        <v>-1.461547198364137</v>
      </c>
      <c r="F276" s="1">
        <f>(Gewinne!$O276-Gewinne!F276)/Gewinne!$O276</f>
        <v>-1.418778044701865</v>
      </c>
      <c r="G276" s="1">
        <f>(Gewinne!$O276-Gewinne!G276)/Gewinne!$O276</f>
        <v>-1.6879226416664217</v>
      </c>
      <c r="H276" s="1">
        <f>(Gewinne!$O276-Gewinne!H276)/Gewinne!$O276</f>
        <v>-1.5541553342605261</v>
      </c>
      <c r="I276" s="1">
        <f>(Gewinne!$O276-Gewinne!I276)/Gewinne!$O276</f>
        <v>-1.7243919107986914</v>
      </c>
      <c r="J276" s="1">
        <f>(Gewinne!$O276-Gewinne!J276)/Gewinne!$O276</f>
        <v>-1.6772362390123794</v>
      </c>
      <c r="K276" s="1">
        <f>(Gewinne!$O276-Gewinne!K276)/Gewinne!$O276</f>
        <v>0</v>
      </c>
      <c r="L276" s="1">
        <f>(Gewinne!$O276-Gewinne!L276)/Gewinne!$O276</f>
        <v>-1.7492647891540154</v>
      </c>
      <c r="M276" s="1">
        <f>(Gewinne!$O276-Gewinne!M276)/Gewinne!$O276</f>
        <v>-1.7085022274211747</v>
      </c>
      <c r="N276" s="1">
        <f>(Gewinne!$O276-Gewinne!N276)/Gewinne!$O276</f>
        <v>-1.6360770675028733</v>
      </c>
      <c r="O276" s="1"/>
    </row>
    <row r="277" spans="2:15" x14ac:dyDescent="0.25">
      <c r="B277" t="s">
        <v>287</v>
      </c>
      <c r="C277" s="1">
        <f>(Gewinne!$O277-Gewinne!C277)/Gewinne!$O277</f>
        <v>-1.1120639166307518</v>
      </c>
      <c r="D277" s="1">
        <f>(Gewinne!$O277-Gewinne!D277)/Gewinne!$O277</f>
        <v>1</v>
      </c>
      <c r="E277" s="1">
        <f>(Gewinne!$O277-Gewinne!E277)/Gewinne!$O277</f>
        <v>-0.97458306657895044</v>
      </c>
      <c r="F277" s="1">
        <f>(Gewinne!$O277-Gewinne!F277)/Gewinne!$O277</f>
        <v>-0.55768259254626229</v>
      </c>
      <c r="G277" s="1">
        <f>(Gewinne!$O277-Gewinne!G277)/Gewinne!$O277</f>
        <v>-0.97458306657895044</v>
      </c>
      <c r="H277" s="1">
        <f>(Gewinne!$O277-Gewinne!H277)/Gewinne!$O277</f>
        <v>-0.92606021381950909</v>
      </c>
      <c r="I277" s="1">
        <f>(Gewinne!$O277-Gewinne!I277)/Gewinne!$O277</f>
        <v>-1.1848487618698624</v>
      </c>
      <c r="J277" s="1">
        <f>(Gewinne!$O277-Gewinne!J277)/Gewinne!$O277</f>
        <v>-1.2010230461230096</v>
      </c>
      <c r="K277" s="1">
        <f>(Gewinne!$O277-Gewinne!K277)/Gewinne!$O277</f>
        <v>2.4261426379720633E-2</v>
      </c>
      <c r="L277" s="1">
        <f>(Gewinne!$O277-Gewinne!L277)/Gewinne!$O277</f>
        <v>-1.2010230461230096</v>
      </c>
      <c r="M277" s="1">
        <f>(Gewinne!$O277-Gewinne!M277)/Gewinne!$O277</f>
        <v>-1.2010230461230096</v>
      </c>
      <c r="N277" s="1">
        <f>(Gewinne!$O277-Gewinne!N277)/Gewinne!$O277</f>
        <v>-1.0958901984775535</v>
      </c>
      <c r="O277" s="1"/>
    </row>
    <row r="278" spans="2:15" x14ac:dyDescent="0.25">
      <c r="B278" t="s">
        <v>288</v>
      </c>
      <c r="C278" s="1">
        <f>(Gewinne!$O278-Gewinne!C278)/Gewinne!$O278</f>
        <v>-1.6229771965856752</v>
      </c>
      <c r="D278" s="1">
        <f>(Gewinne!$O278-Gewinne!D278)/Gewinne!$O278</f>
        <v>1</v>
      </c>
      <c r="E278" s="1">
        <f>(Gewinne!$O278-Gewinne!E278)/Gewinne!$O278</f>
        <v>-1.4814156924238031</v>
      </c>
      <c r="F278" s="1">
        <f>(Gewinne!$O278-Gewinne!F278)/Gewinne!$O278</f>
        <v>-0.7958386266349341</v>
      </c>
      <c r="G278" s="1">
        <f>(Gewinne!$O278-Gewinne!G278)/Gewinne!$O278</f>
        <v>-1.6142629866302411</v>
      </c>
      <c r="H278" s="1">
        <f>(Gewinne!$O278-Gewinne!H278)/Gewinne!$O278</f>
        <v>-1.5009782572095973</v>
      </c>
      <c r="I278" s="1">
        <f>(Gewinne!$O278-Gewinne!I278)/Gewinne!$O278</f>
        <v>-1.5881203567639386</v>
      </c>
      <c r="J278" s="1">
        <f>(Gewinne!$O278-Gewinne!J278)/Gewinne!$O278</f>
        <v>-1.5794061468085046</v>
      </c>
      <c r="K278" s="1">
        <f>(Gewinne!$O278-Gewinne!K278)/Gewinne!$O278</f>
        <v>4.1436904902244991E-2</v>
      </c>
      <c r="L278" s="1">
        <f>(Gewinne!$O278-Gewinne!L278)/Gewinne!$O278</f>
        <v>-1.6491198264519775</v>
      </c>
      <c r="M278" s="1">
        <f>(Gewinne!$O278-Gewinne!M278)/Gewinne!$O278</f>
        <v>-1.6316914065411092</v>
      </c>
      <c r="N278" s="1">
        <f>(Gewinne!$O278-Gewinne!N278)/Gewinne!$O278</f>
        <v>-1.6229771965856752</v>
      </c>
      <c r="O278" s="1"/>
    </row>
    <row r="279" spans="2:15" x14ac:dyDescent="0.25">
      <c r="B279" t="s">
        <v>289</v>
      </c>
      <c r="C279" s="1">
        <f>(Gewinne!$O279-Gewinne!C279)/Gewinne!$O279</f>
        <v>-1.7151282051282051</v>
      </c>
      <c r="D279" s="1">
        <f>(Gewinne!$O279-Gewinne!D279)/Gewinne!$O279</f>
        <v>1</v>
      </c>
      <c r="E279" s="1">
        <f>(Gewinne!$O279-Gewinne!E279)/Gewinne!$O279</f>
        <v>-1.2279486923076923</v>
      </c>
      <c r="F279" s="1">
        <f>(Gewinne!$O279-Gewinne!F279)/Gewinne!$O279</f>
        <v>-1.3907691794871795</v>
      </c>
      <c r="G279" s="1">
        <f>(Gewinne!$O279-Gewinne!G279)/Gewinne!$O279</f>
        <v>-1.676666641025641</v>
      </c>
      <c r="H279" s="1">
        <f>(Gewinne!$O279-Gewinne!H279)/Gewinne!$O279</f>
        <v>-1.5271794358974358</v>
      </c>
      <c r="I279" s="1">
        <f>(Gewinne!$O279-Gewinne!I279)/Gewinne!$O279</f>
        <v>-1.5399999487179485</v>
      </c>
      <c r="J279" s="1">
        <f>(Gewinne!$O279-Gewinne!J279)/Gewinne!$O279</f>
        <v>-1.676666641025641</v>
      </c>
      <c r="K279" s="1">
        <f>(Gewinne!$O279-Gewinne!K279)/Gewinne!$O279</f>
        <v>0</v>
      </c>
      <c r="L279" s="1">
        <f>(Gewinne!$O279-Gewinne!L279)/Gewinne!$O279</f>
        <v>-1.655384564102564</v>
      </c>
      <c r="M279" s="1">
        <f>(Gewinne!$O279-Gewinne!M279)/Gewinne!$O279</f>
        <v>-1.655384564102564</v>
      </c>
      <c r="N279" s="1">
        <f>(Gewinne!$O279-Gewinne!N279)/Gewinne!$O279</f>
        <v>-1.5997435641025641</v>
      </c>
      <c r="O279" s="1"/>
    </row>
    <row r="280" spans="2:15" x14ac:dyDescent="0.25">
      <c r="B280" t="s">
        <v>290</v>
      </c>
      <c r="C280" s="1">
        <f>(Gewinne!$O280-Gewinne!C280)/Gewinne!$O280</f>
        <v>-1.2625698324022345</v>
      </c>
      <c r="D280" s="1">
        <f>(Gewinne!$O280-Gewinne!D280)/Gewinne!$O280</f>
        <v>1</v>
      </c>
      <c r="E280" s="1">
        <f>(Gewinne!$O280-Gewinne!E280)/Gewinne!$O280</f>
        <v>-0.78029867039106127</v>
      </c>
      <c r="F280" s="1">
        <f>(Gewinne!$O280-Gewinne!F280)/Gewinne!$O280</f>
        <v>-0.53505872625698314</v>
      </c>
      <c r="G280" s="1">
        <f>(Gewinne!$O280-Gewinne!G280)/Gewinne!$O280</f>
        <v>-1.229050279329609</v>
      </c>
      <c r="H280" s="1">
        <f>(Gewinne!$O280-Gewinne!H280)/Gewinne!$O280</f>
        <v>-1.1955307262569832</v>
      </c>
      <c r="I280" s="1">
        <f>(Gewinne!$O280-Gewinne!I280)/Gewinne!$O280</f>
        <v>-1.1843575418994414</v>
      </c>
      <c r="J280" s="1">
        <f>(Gewinne!$O280-Gewinne!J280)/Gewinne!$O280</f>
        <v>-1.229050279329609</v>
      </c>
      <c r="K280" s="1">
        <f>(Gewinne!$O280-Gewinne!K280)/Gewinne!$O280</f>
        <v>0</v>
      </c>
      <c r="L280" s="1">
        <f>(Gewinne!$O280-Gewinne!L280)/Gewinne!$O280</f>
        <v>-1.2328126368715082</v>
      </c>
      <c r="M280" s="1">
        <f>(Gewinne!$O280-Gewinne!M280)/Gewinne!$O280</f>
        <v>-1.2625698324022345</v>
      </c>
      <c r="N280" s="1">
        <f>(Gewinne!$O280-Gewinne!N280)/Gewinne!$O280</f>
        <v>-1.2625698324022345</v>
      </c>
      <c r="O280" s="1"/>
    </row>
    <row r="281" spans="2:15" x14ac:dyDescent="0.25">
      <c r="B281" t="s">
        <v>291</v>
      </c>
      <c r="C281" s="1">
        <f>(Gewinne!$O281-Gewinne!C281)/Gewinne!$O281</f>
        <v>-1.8133333333333332</v>
      </c>
      <c r="D281" s="1">
        <f>(Gewinne!$O281-Gewinne!D281)/Gewinne!$O281</f>
        <v>1</v>
      </c>
      <c r="E281" s="1">
        <f>(Gewinne!$O281-Gewinne!E281)/Gewinne!$O281</f>
        <v>-1.6245267733333333</v>
      </c>
      <c r="F281" s="1">
        <f>(Gewinne!$O281-Gewinne!F281)/Gewinne!$O281</f>
        <v>-1.4181070933333335</v>
      </c>
      <c r="G281" s="1">
        <f>(Gewinne!$O281-Gewinne!G281)/Gewinne!$O281</f>
        <v>-1.7578601066666666</v>
      </c>
      <c r="H281" s="1">
        <f>(Gewinne!$O281-Gewinne!H281)/Gewinne!$O281</f>
        <v>-1.6694649333333333</v>
      </c>
      <c r="I281" s="1">
        <f>(Gewinne!$O281-Gewinne!I281)/Gewinne!$O281</f>
        <v>-1.8694649333333333</v>
      </c>
      <c r="J281" s="1">
        <f>(Gewinne!$O281-Gewinne!J281)/Gewinne!$O281</f>
        <v>-1.8161315999999998</v>
      </c>
      <c r="K281" s="1">
        <f>(Gewinne!$O281-Gewinne!K281)/Gewinne!$O281</f>
        <v>6.8806560000000072E-2</v>
      </c>
      <c r="L281" s="1">
        <f>(Gewinne!$O281-Gewinne!L281)/Gewinne!$O281</f>
        <v>-1.8161315999999998</v>
      </c>
      <c r="M281" s="1">
        <f>(Gewinne!$O281-Gewinne!M281)/Gewinne!$O281</f>
        <v>-1.8827982666666665</v>
      </c>
      <c r="N281" s="1">
        <f>(Gewinne!$O281-Gewinne!N281)/Gewinne!$O281</f>
        <v>-1.8427982666666667</v>
      </c>
      <c r="O281" s="1"/>
    </row>
    <row r="282" spans="2:15" x14ac:dyDescent="0.25">
      <c r="B282" t="s">
        <v>292</v>
      </c>
      <c r="C282" s="1">
        <f>(Gewinne!$O282-Gewinne!C282)/Gewinne!$O282</f>
        <v>-4.6300074074074073</v>
      </c>
      <c r="D282" s="1">
        <f>(Gewinne!$O282-Gewinne!D282)/Gewinne!$O282</f>
        <v>1</v>
      </c>
      <c r="E282" s="1">
        <f>(Gewinne!$O282-Gewinne!E282)/Gewinne!$O282</f>
        <v>-3.3892669629629633</v>
      </c>
      <c r="F282" s="1">
        <f>(Gewinne!$O282-Gewinne!F282)/Gewinne!$O282</f>
        <v>1</v>
      </c>
      <c r="G282" s="1">
        <f>(Gewinne!$O282-Gewinne!G282)/Gewinne!$O282</f>
        <v>-4.6502058148148144</v>
      </c>
      <c r="H282" s="1">
        <f>(Gewinne!$O282-Gewinne!H282)/Gewinne!$O282</f>
        <v>-4.4142523703703702</v>
      </c>
      <c r="I282" s="1">
        <f>(Gewinne!$O282-Gewinne!I282)/Gewinne!$O282</f>
        <v>-4.7242798888888888</v>
      </c>
      <c r="J282" s="1">
        <f>(Gewinne!$O282-Gewinne!J282)/Gewinne!$O282</f>
        <v>-4.8522299259259265</v>
      </c>
      <c r="K282" s="1">
        <f>(Gewinne!$O282-Gewinne!K282)/Gewinne!$O282</f>
        <v>0</v>
      </c>
      <c r="L282" s="1">
        <f>(Gewinne!$O282-Gewinne!L282)/Gewinne!$O282</f>
        <v>-4.8353909999999996</v>
      </c>
      <c r="M282" s="1">
        <f>(Gewinne!$O282-Gewinne!M282)/Gewinne!$O282</f>
        <v>-4.6549931111111107</v>
      </c>
      <c r="N282" s="1">
        <f>(Gewinne!$O282-Gewinne!N282)/Gewinne!$O282</f>
        <v>-4.5946502592592591</v>
      </c>
      <c r="O282" s="1"/>
    </row>
    <row r="283" spans="2:15" x14ac:dyDescent="0.25">
      <c r="B283" t="s">
        <v>293</v>
      </c>
      <c r="C283" s="1">
        <f>(Gewinne!$O283-Gewinne!C283)/Gewinne!$O283</f>
        <v>-0.73559241706161127</v>
      </c>
      <c r="D283" s="1">
        <f>(Gewinne!$O283-Gewinne!D283)/Gewinne!$O283</f>
        <v>1</v>
      </c>
      <c r="E283" s="1">
        <f>(Gewinne!$O283-Gewinne!E283)/Gewinne!$O283</f>
        <v>-0.58393361137440758</v>
      </c>
      <c r="F283" s="1">
        <f>(Gewinne!$O283-Gewinne!F283)/Gewinne!$O283</f>
        <v>0.65872036966824654</v>
      </c>
      <c r="G283" s="1">
        <f>(Gewinne!$O283-Gewinne!G283)/Gewinne!$O283</f>
        <v>-0.74507105213270142</v>
      </c>
      <c r="H283" s="1">
        <f>(Gewinne!$O283-Gewinne!H283)/Gewinne!$O283</f>
        <v>-0.68819901421800944</v>
      </c>
      <c r="I283" s="1">
        <f>(Gewinne!$O283-Gewinne!I283)/Gewinne!$O283</f>
        <v>-0.70715636018957351</v>
      </c>
      <c r="J283" s="1">
        <f>(Gewinne!$O283-Gewinne!J283)/Gewinne!$O283</f>
        <v>-0.70715636018957351</v>
      </c>
      <c r="K283" s="1">
        <f>(Gewinne!$O283-Gewinne!K283)/Gewinne!$O283</f>
        <v>0</v>
      </c>
      <c r="L283" s="1">
        <f>(Gewinne!$O283-Gewinne!L283)/Gewinne!$O283</f>
        <v>-0.61559248341232231</v>
      </c>
      <c r="M283" s="1">
        <f>(Gewinne!$O283-Gewinne!M283)/Gewinne!$O283</f>
        <v>-0.66748813270142171</v>
      </c>
      <c r="N283" s="1">
        <f>(Gewinne!$O283-Gewinne!N283)/Gewinne!$O283</f>
        <v>-0.67872034123222746</v>
      </c>
      <c r="O283" s="1"/>
    </row>
    <row r="284" spans="2:15" x14ac:dyDescent="0.25">
      <c r="B284" t="s">
        <v>294</v>
      </c>
      <c r="C284" s="1">
        <f>(Gewinne!$O284-Gewinne!C284)/Gewinne!$O284</f>
        <v>-0.47091551505112877</v>
      </c>
      <c r="D284" s="1">
        <f>(Gewinne!$O284-Gewinne!D284)/Gewinne!$O284</f>
        <v>1</v>
      </c>
      <c r="E284" s="1">
        <f>(Gewinne!$O284-Gewinne!E284)/Gewinne!$O284</f>
        <v>-0.26559988719731559</v>
      </c>
      <c r="F284" s="1">
        <f>(Gewinne!$O284-Gewinne!F284)/Gewinne!$O284</f>
        <v>-0.36349835505128664</v>
      </c>
      <c r="G284" s="1">
        <f>(Gewinne!$O284-Gewinne!G284)/Gewinne!$O284</f>
        <v>-0.4203338444812264</v>
      </c>
      <c r="H284" s="1">
        <f>(Gewinne!$O284-Gewinne!H284)/Gewinne!$O284</f>
        <v>-0.41573550912093149</v>
      </c>
      <c r="I284" s="1">
        <f>(Gewinne!$O284-Gewinne!I284)/Gewinne!$O284</f>
        <v>-0.42194328944734183</v>
      </c>
      <c r="J284" s="1">
        <f>(Gewinne!$O284-Gewinne!J284)/Gewinne!$O284</f>
        <v>-0.42493217984152126</v>
      </c>
      <c r="K284" s="1">
        <f>(Gewinne!$O284-Gewinne!K284)/Gewinne!$O284</f>
        <v>0</v>
      </c>
      <c r="L284" s="1">
        <f>(Gewinne!$O284-Gewinne!L284)/Gewinne!$O284</f>
        <v>-0.41274661872675206</v>
      </c>
      <c r="M284" s="1">
        <f>(Gewinne!$O284-Gewinne!M284)/Gewinne!$O284</f>
        <v>-0.41274661872675206</v>
      </c>
      <c r="N284" s="1">
        <f>(Gewinne!$O284-Gewinne!N284)/Gewinne!$O284</f>
        <v>-0.39895161264586737</v>
      </c>
      <c r="O284" s="1"/>
    </row>
    <row r="285" spans="2:15" x14ac:dyDescent="0.25">
      <c r="B285" t="s">
        <v>295</v>
      </c>
      <c r="C285" s="1" t="e">
        <f>(Gewinne!$O285-Gewinne!C285)/Gewinne!$O285</f>
        <v>#DIV/0!</v>
      </c>
      <c r="D285" s="1" t="e">
        <f>(Gewinne!$O285-Gewinne!D285)/Gewinne!$O285</f>
        <v>#DIV/0!</v>
      </c>
      <c r="E285" s="1" t="e">
        <f>(Gewinne!$O285-Gewinne!E285)/Gewinne!$O285</f>
        <v>#DIV/0!</v>
      </c>
      <c r="F285" s="1" t="e">
        <f>(Gewinne!$O285-Gewinne!F285)/Gewinne!$O285</f>
        <v>#DIV/0!</v>
      </c>
      <c r="G285" s="1" t="e">
        <f>(Gewinne!$O285-Gewinne!G285)/Gewinne!$O285</f>
        <v>#DIV/0!</v>
      </c>
      <c r="H285" s="1" t="e">
        <f>(Gewinne!$O285-Gewinne!H285)/Gewinne!$O285</f>
        <v>#DIV/0!</v>
      </c>
      <c r="I285" s="1" t="e">
        <f>(Gewinne!$O285-Gewinne!I285)/Gewinne!$O285</f>
        <v>#DIV/0!</v>
      </c>
      <c r="J285" s="1" t="e">
        <f>(Gewinne!$O285-Gewinne!J285)/Gewinne!$O285</f>
        <v>#DIV/0!</v>
      </c>
      <c r="K285" s="1" t="e">
        <f>(Gewinne!$O285-Gewinne!K285)/Gewinne!$O285</f>
        <v>#DIV/0!</v>
      </c>
      <c r="L285" s="1" t="e">
        <f>(Gewinne!$O285-Gewinne!L285)/Gewinne!$O285</f>
        <v>#DIV/0!</v>
      </c>
      <c r="M285" s="1" t="e">
        <f>(Gewinne!$O285-Gewinne!M285)/Gewinne!$O285</f>
        <v>#DIV/0!</v>
      </c>
      <c r="N285" s="1" t="e">
        <f>(Gewinne!$O285-Gewinne!N285)/Gewinne!$O285</f>
        <v>#DIV/0!</v>
      </c>
      <c r="O285" s="1"/>
    </row>
    <row r="286" spans="2:15" x14ac:dyDescent="0.25">
      <c r="B286" t="s">
        <v>296</v>
      </c>
      <c r="C286" s="1" t="e">
        <f>(Gewinne!$O286-Gewinne!C286)/Gewinne!$O286</f>
        <v>#DIV/0!</v>
      </c>
      <c r="D286" s="1" t="e">
        <f>(Gewinne!$O286-Gewinne!D286)/Gewinne!$O286</f>
        <v>#DIV/0!</v>
      </c>
      <c r="E286" s="1" t="e">
        <f>(Gewinne!$O286-Gewinne!E286)/Gewinne!$O286</f>
        <v>#DIV/0!</v>
      </c>
      <c r="F286" s="1" t="e">
        <f>(Gewinne!$O286-Gewinne!F286)/Gewinne!$O286</f>
        <v>#DIV/0!</v>
      </c>
      <c r="G286" s="1" t="e">
        <f>(Gewinne!$O286-Gewinne!G286)/Gewinne!$O286</f>
        <v>#DIV/0!</v>
      </c>
      <c r="H286" s="1" t="e">
        <f>(Gewinne!$O286-Gewinne!H286)/Gewinne!$O286</f>
        <v>#DIV/0!</v>
      </c>
      <c r="I286" s="1" t="e">
        <f>(Gewinne!$O286-Gewinne!I286)/Gewinne!$O286</f>
        <v>#DIV/0!</v>
      </c>
      <c r="J286" s="1" t="e">
        <f>(Gewinne!$O286-Gewinne!J286)/Gewinne!$O286</f>
        <v>#DIV/0!</v>
      </c>
      <c r="K286" s="1" t="e">
        <f>(Gewinne!$O286-Gewinne!K286)/Gewinne!$O286</f>
        <v>#DIV/0!</v>
      </c>
      <c r="L286" s="1" t="e">
        <f>(Gewinne!$O286-Gewinne!L286)/Gewinne!$O286</f>
        <v>#DIV/0!</v>
      </c>
      <c r="M286" s="1" t="e">
        <f>(Gewinne!$O286-Gewinne!M286)/Gewinne!$O286</f>
        <v>#DIV/0!</v>
      </c>
      <c r="N286" s="1" t="e">
        <f>(Gewinne!$O286-Gewinne!N286)/Gewinne!$O286</f>
        <v>#DIV/0!</v>
      </c>
      <c r="O286" s="1"/>
    </row>
    <row r="287" spans="2:15" x14ac:dyDescent="0.25">
      <c r="B287" t="s">
        <v>297</v>
      </c>
      <c r="C287" s="1" t="e">
        <f>(Gewinne!$O287-Gewinne!C287)/Gewinne!$O287</f>
        <v>#DIV/0!</v>
      </c>
      <c r="D287" s="1" t="e">
        <f>(Gewinne!$O287-Gewinne!D287)/Gewinne!$O287</f>
        <v>#DIV/0!</v>
      </c>
      <c r="E287" s="1" t="e">
        <f>(Gewinne!$O287-Gewinne!E287)/Gewinne!$O287</f>
        <v>#DIV/0!</v>
      </c>
      <c r="F287" s="1" t="e">
        <f>(Gewinne!$O287-Gewinne!F287)/Gewinne!$O287</f>
        <v>#DIV/0!</v>
      </c>
      <c r="G287" s="1" t="e">
        <f>(Gewinne!$O287-Gewinne!G287)/Gewinne!$O287</f>
        <v>#DIV/0!</v>
      </c>
      <c r="H287" s="1" t="e">
        <f>(Gewinne!$O287-Gewinne!H287)/Gewinne!$O287</f>
        <v>#DIV/0!</v>
      </c>
      <c r="I287" s="1" t="e">
        <f>(Gewinne!$O287-Gewinne!I287)/Gewinne!$O287</f>
        <v>#DIV/0!</v>
      </c>
      <c r="J287" s="1" t="e">
        <f>(Gewinne!$O287-Gewinne!J287)/Gewinne!$O287</f>
        <v>#DIV/0!</v>
      </c>
      <c r="K287" s="1" t="e">
        <f>(Gewinne!$O287-Gewinne!K287)/Gewinne!$O287</f>
        <v>#DIV/0!</v>
      </c>
      <c r="L287" s="1" t="e">
        <f>(Gewinne!$O287-Gewinne!L287)/Gewinne!$O287</f>
        <v>#DIV/0!</v>
      </c>
      <c r="M287" s="1" t="e">
        <f>(Gewinne!$O287-Gewinne!M287)/Gewinne!$O287</f>
        <v>#DIV/0!</v>
      </c>
      <c r="N287" s="1" t="e">
        <f>(Gewinne!$O287-Gewinne!N287)/Gewinne!$O287</f>
        <v>#DIV/0!</v>
      </c>
      <c r="O287" s="1"/>
    </row>
    <row r="288" spans="2:15" x14ac:dyDescent="0.25">
      <c r="B288" t="s">
        <v>298</v>
      </c>
      <c r="C288" s="1" t="e">
        <f>(Gewinne!$O288-Gewinne!C288)/Gewinne!$O288</f>
        <v>#DIV/0!</v>
      </c>
      <c r="D288" s="1" t="e">
        <f>(Gewinne!$O288-Gewinne!D288)/Gewinne!$O288</f>
        <v>#DIV/0!</v>
      </c>
      <c r="E288" s="1" t="e">
        <f>(Gewinne!$O288-Gewinne!E288)/Gewinne!$O288</f>
        <v>#DIV/0!</v>
      </c>
      <c r="F288" s="1" t="e">
        <f>(Gewinne!$O288-Gewinne!F288)/Gewinne!$O288</f>
        <v>#DIV/0!</v>
      </c>
      <c r="G288" s="1" t="e">
        <f>(Gewinne!$O288-Gewinne!G288)/Gewinne!$O288</f>
        <v>#DIV/0!</v>
      </c>
      <c r="H288" s="1" t="e">
        <f>(Gewinne!$O288-Gewinne!H288)/Gewinne!$O288</f>
        <v>#DIV/0!</v>
      </c>
      <c r="I288" s="1" t="e">
        <f>(Gewinne!$O288-Gewinne!I288)/Gewinne!$O288</f>
        <v>#DIV/0!</v>
      </c>
      <c r="J288" s="1" t="e">
        <f>(Gewinne!$O288-Gewinne!J288)/Gewinne!$O288</f>
        <v>#DIV/0!</v>
      </c>
      <c r="K288" s="1" t="e">
        <f>(Gewinne!$O288-Gewinne!K288)/Gewinne!$O288</f>
        <v>#DIV/0!</v>
      </c>
      <c r="L288" s="1" t="e">
        <f>(Gewinne!$O288-Gewinne!L288)/Gewinne!$O288</f>
        <v>#DIV/0!</v>
      </c>
      <c r="M288" s="1" t="e">
        <f>(Gewinne!$O288-Gewinne!M288)/Gewinne!$O288</f>
        <v>#DIV/0!</v>
      </c>
      <c r="N288" s="1" t="e">
        <f>(Gewinne!$O288-Gewinne!N288)/Gewinne!$O288</f>
        <v>#DIV/0!</v>
      </c>
      <c r="O288" s="1"/>
    </row>
    <row r="289" spans="2:15" x14ac:dyDescent="0.25">
      <c r="B289" t="s">
        <v>299</v>
      </c>
      <c r="C289" s="1" t="e">
        <f>(Gewinne!$O289-Gewinne!C289)/Gewinne!$O289</f>
        <v>#DIV/0!</v>
      </c>
      <c r="D289" s="1" t="e">
        <f>(Gewinne!$O289-Gewinne!D289)/Gewinne!$O289</f>
        <v>#DIV/0!</v>
      </c>
      <c r="E289" s="1" t="e">
        <f>(Gewinne!$O289-Gewinne!E289)/Gewinne!$O289</f>
        <v>#DIV/0!</v>
      </c>
      <c r="F289" s="1" t="e">
        <f>(Gewinne!$O289-Gewinne!F289)/Gewinne!$O289</f>
        <v>#DIV/0!</v>
      </c>
      <c r="G289" s="1" t="e">
        <f>(Gewinne!$O289-Gewinne!G289)/Gewinne!$O289</f>
        <v>#DIV/0!</v>
      </c>
      <c r="H289" s="1" t="e">
        <f>(Gewinne!$O289-Gewinne!H289)/Gewinne!$O289</f>
        <v>#DIV/0!</v>
      </c>
      <c r="I289" s="1" t="e">
        <f>(Gewinne!$O289-Gewinne!I289)/Gewinne!$O289</f>
        <v>#DIV/0!</v>
      </c>
      <c r="J289" s="1" t="e">
        <f>(Gewinne!$O289-Gewinne!J289)/Gewinne!$O289</f>
        <v>#DIV/0!</v>
      </c>
      <c r="K289" s="1" t="e">
        <f>(Gewinne!$O289-Gewinne!K289)/Gewinne!$O289</f>
        <v>#DIV/0!</v>
      </c>
      <c r="L289" s="1" t="e">
        <f>(Gewinne!$O289-Gewinne!L289)/Gewinne!$O289</f>
        <v>#DIV/0!</v>
      </c>
      <c r="M289" s="1" t="e">
        <f>(Gewinne!$O289-Gewinne!M289)/Gewinne!$O289</f>
        <v>#DIV/0!</v>
      </c>
      <c r="N289" s="1" t="e">
        <f>(Gewinne!$O289-Gewinne!N289)/Gewinne!$O289</f>
        <v>#DIV/0!</v>
      </c>
      <c r="O289" s="1"/>
    </row>
    <row r="290" spans="2:15" x14ac:dyDescent="0.25">
      <c r="B290" t="s">
        <v>300</v>
      </c>
      <c r="C290" s="1" t="e">
        <f>(Gewinne!$O290-Gewinne!C290)/Gewinne!$O290</f>
        <v>#DIV/0!</v>
      </c>
      <c r="D290" s="1" t="e">
        <f>(Gewinne!$O290-Gewinne!D290)/Gewinne!$O290</f>
        <v>#DIV/0!</v>
      </c>
      <c r="E290" s="1" t="e">
        <f>(Gewinne!$O290-Gewinne!E290)/Gewinne!$O290</f>
        <v>#DIV/0!</v>
      </c>
      <c r="F290" s="1" t="e">
        <f>(Gewinne!$O290-Gewinne!F290)/Gewinne!$O290</f>
        <v>#DIV/0!</v>
      </c>
      <c r="G290" s="1" t="e">
        <f>(Gewinne!$O290-Gewinne!G290)/Gewinne!$O290</f>
        <v>#DIV/0!</v>
      </c>
      <c r="H290" s="1" t="e">
        <f>(Gewinne!$O290-Gewinne!H290)/Gewinne!$O290</f>
        <v>#DIV/0!</v>
      </c>
      <c r="I290" s="1" t="e">
        <f>(Gewinne!$O290-Gewinne!I290)/Gewinne!$O290</f>
        <v>#DIV/0!</v>
      </c>
      <c r="J290" s="1" t="e">
        <f>(Gewinne!$O290-Gewinne!J290)/Gewinne!$O290</f>
        <v>#DIV/0!</v>
      </c>
      <c r="K290" s="1" t="e">
        <f>(Gewinne!$O290-Gewinne!K290)/Gewinne!$O290</f>
        <v>#DIV/0!</v>
      </c>
      <c r="L290" s="1" t="e">
        <f>(Gewinne!$O290-Gewinne!L290)/Gewinne!$O290</f>
        <v>#DIV/0!</v>
      </c>
      <c r="M290" s="1" t="e">
        <f>(Gewinne!$O290-Gewinne!M290)/Gewinne!$O290</f>
        <v>#DIV/0!</v>
      </c>
      <c r="N290" s="1" t="e">
        <f>(Gewinne!$O290-Gewinne!N290)/Gewinne!$O290</f>
        <v>#DIV/0!</v>
      </c>
      <c r="O290" s="1"/>
    </row>
    <row r="291" spans="2:15" x14ac:dyDescent="0.25">
      <c r="B291" t="s">
        <v>301</v>
      </c>
      <c r="C291" s="1" t="e">
        <f>(Gewinne!$O291-Gewinne!C291)/Gewinne!$O291</f>
        <v>#DIV/0!</v>
      </c>
      <c r="D291" s="1" t="e">
        <f>(Gewinne!$O291-Gewinne!D291)/Gewinne!$O291</f>
        <v>#DIV/0!</v>
      </c>
      <c r="E291" s="1" t="e">
        <f>(Gewinne!$O291-Gewinne!E291)/Gewinne!$O291</f>
        <v>#DIV/0!</v>
      </c>
      <c r="F291" s="1" t="e">
        <f>(Gewinne!$O291-Gewinne!F291)/Gewinne!$O291</f>
        <v>#DIV/0!</v>
      </c>
      <c r="G291" s="1" t="e">
        <f>(Gewinne!$O291-Gewinne!G291)/Gewinne!$O291</f>
        <v>#DIV/0!</v>
      </c>
      <c r="H291" s="1" t="e">
        <f>(Gewinne!$O291-Gewinne!H291)/Gewinne!$O291</f>
        <v>#DIV/0!</v>
      </c>
      <c r="I291" s="1" t="e">
        <f>(Gewinne!$O291-Gewinne!I291)/Gewinne!$O291</f>
        <v>#DIV/0!</v>
      </c>
      <c r="J291" s="1" t="e">
        <f>(Gewinne!$O291-Gewinne!J291)/Gewinne!$O291</f>
        <v>#DIV/0!</v>
      </c>
      <c r="K291" s="1" t="e">
        <f>(Gewinne!$O291-Gewinne!K291)/Gewinne!$O291</f>
        <v>#DIV/0!</v>
      </c>
      <c r="L291" s="1" t="e">
        <f>(Gewinne!$O291-Gewinne!L291)/Gewinne!$O291</f>
        <v>#DIV/0!</v>
      </c>
      <c r="M291" s="1" t="e">
        <f>(Gewinne!$O291-Gewinne!M291)/Gewinne!$O291</f>
        <v>#DIV/0!</v>
      </c>
      <c r="N291" s="1" t="e">
        <f>(Gewinne!$O291-Gewinne!N291)/Gewinne!$O291</f>
        <v>#DIV/0!</v>
      </c>
      <c r="O291" s="1"/>
    </row>
    <row r="292" spans="2:15" x14ac:dyDescent="0.25">
      <c r="B292" t="s">
        <v>302</v>
      </c>
      <c r="C292" s="1" t="e">
        <f>(Gewinne!$O292-Gewinne!C292)/Gewinne!$O292</f>
        <v>#DIV/0!</v>
      </c>
      <c r="D292" s="1" t="e">
        <f>(Gewinne!$O292-Gewinne!D292)/Gewinne!$O292</f>
        <v>#DIV/0!</v>
      </c>
      <c r="E292" s="1" t="e">
        <f>(Gewinne!$O292-Gewinne!E292)/Gewinne!$O292</f>
        <v>#DIV/0!</v>
      </c>
      <c r="F292" s="1" t="e">
        <f>(Gewinne!$O292-Gewinne!F292)/Gewinne!$O292</f>
        <v>#DIV/0!</v>
      </c>
      <c r="G292" s="1" t="e">
        <f>(Gewinne!$O292-Gewinne!G292)/Gewinne!$O292</f>
        <v>#DIV/0!</v>
      </c>
      <c r="H292" s="1" t="e">
        <f>(Gewinne!$O292-Gewinne!H292)/Gewinne!$O292</f>
        <v>#DIV/0!</v>
      </c>
      <c r="I292" s="1" t="e">
        <f>(Gewinne!$O292-Gewinne!I292)/Gewinne!$O292</f>
        <v>#DIV/0!</v>
      </c>
      <c r="J292" s="1" t="e">
        <f>(Gewinne!$O292-Gewinne!J292)/Gewinne!$O292</f>
        <v>#DIV/0!</v>
      </c>
      <c r="K292" s="1" t="e">
        <f>(Gewinne!$O292-Gewinne!K292)/Gewinne!$O292</f>
        <v>#DIV/0!</v>
      </c>
      <c r="L292" s="1" t="e">
        <f>(Gewinne!$O292-Gewinne!L292)/Gewinne!$O292</f>
        <v>#DIV/0!</v>
      </c>
      <c r="M292" s="1" t="e">
        <f>(Gewinne!$O292-Gewinne!M292)/Gewinne!$O292</f>
        <v>#DIV/0!</v>
      </c>
      <c r="N292" s="1" t="e">
        <f>(Gewinne!$O292-Gewinne!N292)/Gewinne!$O292</f>
        <v>#DIV/0!</v>
      </c>
      <c r="O292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M4"/>
  <sheetViews>
    <sheetView workbookViewId="0">
      <selection activeCell="E7" sqref="E7"/>
    </sheetView>
  </sheetViews>
  <sheetFormatPr baseColWidth="10" defaultRowHeight="15" x14ac:dyDescent="0.25"/>
  <cols>
    <col min="11" max="11" width="18" customWidth="1"/>
    <col min="13" max="13" width="16.140625" customWidth="1"/>
  </cols>
  <sheetData>
    <row r="2" spans="2:13" x14ac:dyDescent="0.25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</row>
    <row r="3" spans="2:13" x14ac:dyDescent="0.25">
      <c r="B3" s="2" t="e">
        <f>AVERAGE(Gaps!C:C)</f>
        <v>#DIV/0!</v>
      </c>
      <c r="C3" s="2" t="e">
        <f>AVERAGE(Gaps!D:D)</f>
        <v>#DIV/0!</v>
      </c>
      <c r="D3" s="2" t="e">
        <f>AVERAGE(Gaps!E:E)</f>
        <v>#DIV/0!</v>
      </c>
      <c r="E3" s="2" t="e">
        <f>AVERAGE(Gaps!F:F)</f>
        <v>#DIV/0!</v>
      </c>
      <c r="F3" s="2" t="e">
        <f>AVERAGE(Gaps!G:G)</f>
        <v>#DIV/0!</v>
      </c>
      <c r="G3" s="2" t="e">
        <f>AVERAGE(Gaps!H:H)</f>
        <v>#DIV/0!</v>
      </c>
      <c r="H3" s="2" t="e">
        <f>AVERAGE(Gaps!I:I)</f>
        <v>#DIV/0!</v>
      </c>
      <c r="I3" s="2" t="e">
        <f>AVERAGE(Gaps!J:J)</f>
        <v>#DIV/0!</v>
      </c>
      <c r="J3" s="2" t="e">
        <f>AVERAGE(Gaps!K:K)</f>
        <v>#DIV/0!</v>
      </c>
      <c r="K3" s="2" t="e">
        <f>AVERAGE(Gaps!L:L)</f>
        <v>#DIV/0!</v>
      </c>
      <c r="L3" s="2" t="e">
        <f>AVERAGE(Gaps!M:M)</f>
        <v>#DIV/0!</v>
      </c>
      <c r="M3" s="2" t="e">
        <f>AVERAGE(Gaps!N:N)</f>
        <v>#DIV/0!</v>
      </c>
    </row>
    <row r="4" spans="2:13" x14ac:dyDescent="0.25">
      <c r="F4" t="s">
        <v>303</v>
      </c>
      <c r="G4" t="s">
        <v>304</v>
      </c>
      <c r="H4" t="s">
        <v>305</v>
      </c>
      <c r="I4" t="s">
        <v>306</v>
      </c>
      <c r="J4" t="s">
        <v>307</v>
      </c>
      <c r="K4" t="s">
        <v>309</v>
      </c>
      <c r="L4" t="s">
        <v>308</v>
      </c>
      <c r="M4" t="s">
        <v>310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Gewinne</vt:lpstr>
      <vt:lpstr>Gaps</vt:lpstr>
      <vt:lpstr>Avg Gaps</vt:lpstr>
    </vt:vector>
  </TitlesOfParts>
  <Company>Leibniz Universität Hannover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a.schnabel</dc:creator>
  <cp:lastModifiedBy>a.schnabel</cp:lastModifiedBy>
  <dcterms:created xsi:type="dcterms:W3CDTF">2016-01-27T07:41:15Z</dcterms:created>
  <dcterms:modified xsi:type="dcterms:W3CDTF">2016-02-19T09:35:46Z</dcterms:modified>
</cp:coreProperties>
</file>